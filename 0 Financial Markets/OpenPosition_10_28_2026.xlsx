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107d93d172baba/0 RESEARCH - GITHUB/0 Financial Markets/0 Tracker portfolio StockTrak/"/>
    </mc:Choice>
  </mc:AlternateContent>
  <xr:revisionPtr revIDLastSave="16" documentId="8_{E1CC5615-CF80-41F0-89C2-D5B7108F4F78}" xr6:coauthVersionLast="47" xr6:coauthVersionMax="47" xr10:uidLastSave="{803173D5-52D3-4E39-B67A-59F5881C6DE2}"/>
  <bookViews>
    <workbookView xWindow="-108" yWindow="-108" windowWidth="23256" windowHeight="13896" xr2:uid="{295DF3C0-629D-4497-90A2-48169ACF9E43}"/>
  </bookViews>
  <sheets>
    <sheet name="OpenPosition_10_28_2026" sheetId="1" r:id="rId1"/>
  </sheets>
  <definedNames>
    <definedName name="_xlnm._FilterDatabase" localSheetId="0" hidden="1">OpenPosition_10_28_2026!$A$1:$L$57</definedName>
  </definedNames>
  <calcPr calcId="0"/>
</workbook>
</file>

<file path=xl/calcChain.xml><?xml version="1.0" encoding="utf-8"?>
<calcChain xmlns="http://schemas.openxmlformats.org/spreadsheetml/2006/main">
  <c r="K17" i="1" l="1"/>
  <c r="K48" i="1"/>
  <c r="K23" i="1"/>
  <c r="K36" i="1"/>
  <c r="K44" i="1"/>
  <c r="K29" i="1"/>
  <c r="K46" i="1"/>
  <c r="K45" i="1"/>
  <c r="K53" i="1"/>
  <c r="K35" i="1"/>
  <c r="K9" i="1"/>
  <c r="K14" i="1"/>
  <c r="K38" i="1"/>
  <c r="K27" i="1"/>
  <c r="K19" i="1"/>
  <c r="K13" i="1"/>
  <c r="K43" i="1"/>
  <c r="K51" i="1"/>
  <c r="K4" i="1"/>
  <c r="K7" i="1"/>
  <c r="K15" i="1"/>
  <c r="K8" i="1"/>
  <c r="K18" i="1"/>
  <c r="K37" i="1"/>
  <c r="K25" i="1"/>
  <c r="K42" i="1"/>
  <c r="K32" i="1"/>
  <c r="K39" i="1"/>
  <c r="K49" i="1"/>
  <c r="K31" i="1"/>
  <c r="K30" i="1"/>
  <c r="K3" i="1"/>
  <c r="K5" i="1"/>
  <c r="K26" i="1"/>
  <c r="K6" i="1"/>
  <c r="K56" i="1"/>
  <c r="K11" i="1"/>
  <c r="K47" i="1"/>
  <c r="K52" i="1"/>
  <c r="K10" i="1"/>
  <c r="K12" i="1"/>
  <c r="K40" i="1"/>
  <c r="K28" i="1"/>
  <c r="K16" i="1"/>
  <c r="K20" i="1"/>
  <c r="K41" i="1"/>
  <c r="K22" i="1"/>
  <c r="K55" i="1"/>
  <c r="K54" i="1"/>
  <c r="K21" i="1"/>
  <c r="K24" i="1"/>
  <c r="K2" i="1"/>
  <c r="K34" i="1"/>
  <c r="K33" i="1"/>
  <c r="K50" i="1"/>
  <c r="K57" i="1" l="1"/>
  <c r="L2" i="1" s="1"/>
  <c r="L50" i="1" l="1"/>
  <c r="L33" i="1"/>
  <c r="L34" i="1"/>
  <c r="L24" i="1"/>
  <c r="L21" i="1"/>
  <c r="L54" i="1"/>
  <c r="L55" i="1"/>
  <c r="L22" i="1"/>
  <c r="L41" i="1"/>
  <c r="L20" i="1"/>
  <c r="L16" i="1"/>
  <c r="L28" i="1"/>
  <c r="L40" i="1"/>
  <c r="L12" i="1"/>
  <c r="L10" i="1"/>
  <c r="L52" i="1"/>
  <c r="L47" i="1"/>
  <c r="L11" i="1"/>
  <c r="L56" i="1"/>
  <c r="L6" i="1"/>
  <c r="L26" i="1"/>
  <c r="L5" i="1"/>
  <c r="L3" i="1"/>
  <c r="L30" i="1"/>
  <c r="L31" i="1"/>
  <c r="L49" i="1"/>
  <c r="L39" i="1"/>
  <c r="L32" i="1"/>
  <c r="L42" i="1"/>
  <c r="L25" i="1"/>
  <c r="L37" i="1"/>
  <c r="L18" i="1"/>
  <c r="L8" i="1"/>
  <c r="L15" i="1"/>
  <c r="L7" i="1"/>
  <c r="L4" i="1"/>
  <c r="L51" i="1"/>
  <c r="L43" i="1"/>
  <c r="L13" i="1"/>
  <c r="L19" i="1"/>
  <c r="L27" i="1"/>
  <c r="L38" i="1"/>
  <c r="L14" i="1"/>
  <c r="L9" i="1"/>
  <c r="L35" i="1"/>
  <c r="L53" i="1"/>
  <c r="L45" i="1"/>
  <c r="L46" i="1"/>
  <c r="L29" i="1"/>
  <c r="L44" i="1"/>
  <c r="L36" i="1"/>
  <c r="L23" i="1"/>
  <c r="L48" i="1"/>
  <c r="L17" i="1"/>
</calcChain>
</file>

<file path=xl/sharedStrings.xml><?xml version="1.0" encoding="utf-8"?>
<sst xmlns="http://schemas.openxmlformats.org/spreadsheetml/2006/main" count="177" uniqueCount="122">
  <si>
    <t>Symbol</t>
  </si>
  <si>
    <t>Description</t>
  </si>
  <si>
    <t>Quantity</t>
  </si>
  <si>
    <t>Currency</t>
  </si>
  <si>
    <t>LastPrice</t>
  </si>
  <si>
    <t>PricePaid</t>
  </si>
  <si>
    <t>DayChange</t>
  </si>
  <si>
    <t>ProfitLoss</t>
  </si>
  <si>
    <t>MarketValue</t>
  </si>
  <si>
    <t>ProfitLossPercentage</t>
  </si>
  <si>
    <t>ACN</t>
  </si>
  <si>
    <t>Accenture plc - Ordinary Shares - Class A</t>
  </si>
  <si>
    <t>USD</t>
  </si>
  <si>
    <t>AGG</t>
  </si>
  <si>
    <t>BlackRock Institutional Trust Company N.A. - iShares Core U.S. Aggregate Bond ETF</t>
  </si>
  <si>
    <t>AMP</t>
  </si>
  <si>
    <t>Ameriprise Financial Inc</t>
  </si>
  <si>
    <t>ASHR</t>
  </si>
  <si>
    <t>DBX ETF Trust - Xtrackers Harvest CSI 300 China A-Shares ETF</t>
  </si>
  <si>
    <t>ASTS</t>
  </si>
  <si>
    <t>AST SpaceMobile Inc - Ordinary Shares - Class A</t>
  </si>
  <si>
    <t>BAC</t>
  </si>
  <si>
    <t>Bank Of America Corp.</t>
  </si>
  <si>
    <t>BYD</t>
  </si>
  <si>
    <t>Boyd Gaming Corp.</t>
  </si>
  <si>
    <t>C</t>
  </si>
  <si>
    <t>Citigroup Inc</t>
  </si>
  <si>
    <t>COF</t>
  </si>
  <si>
    <t>Capital One Financial Corp.</t>
  </si>
  <si>
    <t>EBAY</t>
  </si>
  <si>
    <t>EBay Inc.</t>
  </si>
  <si>
    <t>EIDO</t>
  </si>
  <si>
    <t>BlackRock Institutional Trust Company N.A. - iShares MSCI Indonesia ETF</t>
  </si>
  <si>
    <t>EUAD</t>
  </si>
  <si>
    <t>Select STOXX Europe Aerospace &amp; Defense ETF</t>
  </si>
  <si>
    <t>FXI</t>
  </si>
  <si>
    <t>BlackRock Institutional Trust Company N.A. - iShares China Large-Cap ETF</t>
  </si>
  <si>
    <t>GS</t>
  </si>
  <si>
    <t>Goldman Sachs Group, Inc.</t>
  </si>
  <si>
    <t>IAT</t>
  </si>
  <si>
    <t>BlackRock Institutional Trust Company N.A. - iShares U.S. Regional Banks ETF</t>
  </si>
  <si>
    <t>IJR</t>
  </si>
  <si>
    <t>BlackRock Institutional Trust Company N.A. - iShares Core S&amp;P Small-Cap ETF</t>
  </si>
  <si>
    <t>INDA</t>
  </si>
  <si>
    <t>BlackRock Institutional Trust Company N.A. - iShares MSCI India ETF</t>
  </si>
  <si>
    <t>IT</t>
  </si>
  <si>
    <t>Gartner, Inc.</t>
  </si>
  <si>
    <t>IVZ</t>
  </si>
  <si>
    <t>Invesco Ltd</t>
  </si>
  <si>
    <t>IWM</t>
  </si>
  <si>
    <t>BlackRock Institutional Trust Company N.A. - iShares Russell 2000 ETF</t>
  </si>
  <si>
    <t>IYF</t>
  </si>
  <si>
    <t>BlackRock Institutional Trust Company N.A. - iShares U.S. Financials ETF</t>
  </si>
  <si>
    <t>IYJ</t>
  </si>
  <si>
    <t>BlackRock Institutional Trust Company N.A. - iShares U.S. Industrials ETF</t>
  </si>
  <si>
    <t>IYK</t>
  </si>
  <si>
    <t>BlackRock Institutional Trust Company N.A. - iShares U.S. Consumer Staples ETF</t>
  </si>
  <si>
    <t>IYR</t>
  </si>
  <si>
    <t>BlackRock Institutional Trust Company N.A. - iShares U.S. Real Estate ETF</t>
  </si>
  <si>
    <t>MAIR</t>
  </si>
  <si>
    <t>MAIR HOLDINGS  INC</t>
  </si>
  <si>
    <t>MCHI</t>
  </si>
  <si>
    <t>BlackRock Institutional Trust Company N.A. - iShares MSCI China ETF</t>
  </si>
  <si>
    <t>MS</t>
  </si>
  <si>
    <t>Morgan Stanley</t>
  </si>
  <si>
    <t>MSFT</t>
  </si>
  <si>
    <t>Microsoft Corporation</t>
  </si>
  <si>
    <t>MTCH</t>
  </si>
  <si>
    <t>Match Group Inc. - Ordinary Shares - New</t>
  </si>
  <si>
    <t>NTRS</t>
  </si>
  <si>
    <t>Northern Trust Corp.</t>
  </si>
  <si>
    <t>NVDA</t>
  </si>
  <si>
    <t>NVIDIA Corp</t>
  </si>
  <si>
    <t>ORCL</t>
  </si>
  <si>
    <t>Oracle Corp.</t>
  </si>
  <si>
    <t>QQQM</t>
  </si>
  <si>
    <t>Invesco Exchange-Traded Fund Trust II - Invesco NASDAQ 100 ETF</t>
  </si>
  <si>
    <t>RSP</t>
  </si>
  <si>
    <t>Invesco Capital Management LLC - Invesco S&amp;P 500 Equal Weight ETF</t>
  </si>
  <si>
    <t>RZG</t>
  </si>
  <si>
    <t>Invesco Capital Management LLC - Invesco S&amp;P SmallCap 600 Pure Growth ETF</t>
  </si>
  <si>
    <t>SCO</t>
  </si>
  <si>
    <t>ProShares Trust - ProShares UltraShort Bloomberg Crude Oil -2x Shares</t>
  </si>
  <si>
    <t>SOXX</t>
  </si>
  <si>
    <t>BlackRock Institutional Trust Company N.A. - iShares Semiconductor ETF</t>
  </si>
  <si>
    <t>SPY</t>
  </si>
  <si>
    <t>SSgA Active Trust - SPDR S&amp;P 500 ETF Trust</t>
  </si>
  <si>
    <t>STT</t>
  </si>
  <si>
    <t>State Street Corp.</t>
  </si>
  <si>
    <t>SYF</t>
  </si>
  <si>
    <t>Synchrony Financial</t>
  </si>
  <si>
    <t>TLT</t>
  </si>
  <si>
    <t>BlackRock Institutional Trust Company N.A. - iShares 20+ Year Treasury Bond ETF</t>
  </si>
  <si>
    <t>TNA</t>
  </si>
  <si>
    <t>Direxion Shares ETF Trust - Direxion Daily Small Cap Bull 3X Shares</t>
  </si>
  <si>
    <t>TROW</t>
  </si>
  <si>
    <t>T. Rowe Price Group Inc.</t>
  </si>
  <si>
    <t>UBER</t>
  </si>
  <si>
    <t>Uber Technologies Inc</t>
  </si>
  <si>
    <t>UNH</t>
  </si>
  <si>
    <t>Unitedhealth Group Inc</t>
  </si>
  <si>
    <t>VNAM</t>
  </si>
  <si>
    <t>Global X Funds - Global X MSCI Vietnam ETF</t>
  </si>
  <si>
    <t>WFC</t>
  </si>
  <si>
    <t>Wells Fargo &amp; Co.</t>
  </si>
  <si>
    <t>XOVR</t>
  </si>
  <si>
    <t>Entrepreneurshares Series Trust - ERShares Private-Public Crossover ETF</t>
  </si>
  <si>
    <t>PFE2618L27</t>
  </si>
  <si>
    <t>Pfizer Inc.</t>
  </si>
  <si>
    <t>WFC2815L72.5</t>
  </si>
  <si>
    <t>B-PFE-2.750-03062026</t>
  </si>
  <si>
    <t>Pfizer Inc - 2.750% - Jun 2026</t>
  </si>
  <si>
    <t>B-T-3.000-15052045</t>
  </si>
  <si>
    <t>T-BOND 3.000% 15-May-2045</t>
  </si>
  <si>
    <t>BTC</t>
  </si>
  <si>
    <t>Bitcoin</t>
  </si>
  <si>
    <t>ETH</t>
  </si>
  <si>
    <t>Ethereum</t>
  </si>
  <si>
    <t>SOL</t>
  </si>
  <si>
    <t>Solana</t>
  </si>
  <si>
    <t>Investment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</si>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</sst>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0" fillId="33" borderId="0" xfId="0" applyFill="1"/>
    <xf numFmtId="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D94F-2EF1-4E8C-98FC-64B98BE94C0E}">
  <dimension ref="A1:L57"/>
  <sheetViews>
    <sheetView tabSelected="1" workbookViewId="0">
      <selection activeCell="B28" sqref="B28"/>
    </sheetView>
  </sheetViews>
  <sheetFormatPr defaultRowHeight="14.4" x14ac:dyDescent="0.3"/>
  <cols>
    <col min="1" max="1" width="20" bestFit="1" customWidth="1"/>
    <col min="2" max="2" width="68" bestFit="1" customWidth="1"/>
    <col min="3" max="3" width="7.6640625" bestFit="1" customWidth="1"/>
    <col min="4" max="4" width="8.33203125" bestFit="1" customWidth="1"/>
    <col min="5" max="5" width="11" bestFit="1" customWidth="1"/>
    <col min="6" max="6" width="12" bestFit="1" customWidth="1"/>
    <col min="7" max="7" width="10.109375" bestFit="1" customWidth="1"/>
    <col min="8" max="8" width="9.77734375" bestFit="1" customWidth="1"/>
    <col min="9" max="9" width="11.109375" bestFit="1" customWidth="1"/>
    <col min="10" max="10" width="18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120</v>
      </c>
      <c r="L1" t="s">
        <v>121</v>
      </c>
    </row>
    <row r="2" spans="1:12" x14ac:dyDescent="0.3">
      <c r="A2" t="s">
        <v>114</v>
      </c>
      <c r="B2" t="s">
        <v>115</v>
      </c>
      <c r="C2">
        <v>2</v>
      </c>
      <c r="D2" t="s">
        <v>12</v>
      </c>
      <c r="E2">
        <v>81423.94</v>
      </c>
      <c r="F2">
        <v>79635.47</v>
      </c>
      <c r="G2">
        <v>0</v>
      </c>
      <c r="H2" s="1">
        <v>3576.94</v>
      </c>
      <c r="I2">
        <v>162847.88</v>
      </c>
      <c r="J2">
        <v>2.25</v>
      </c>
      <c r="K2">
        <f>F2*C2</f>
        <v>159270.94</v>
      </c>
      <c r="L2">
        <f>K2/$K$57</f>
        <v>0.12548376344653331</v>
      </c>
    </row>
    <row r="3" spans="1:12" x14ac:dyDescent="0.3">
      <c r="A3" t="s">
        <v>75</v>
      </c>
      <c r="B3" t="s">
        <v>76</v>
      </c>
      <c r="C3">
        <v>500</v>
      </c>
      <c r="D3" t="s">
        <v>12</v>
      </c>
      <c r="E3">
        <v>296.95999999999998</v>
      </c>
      <c r="F3">
        <v>247.09</v>
      </c>
      <c r="G3">
        <v>3.7</v>
      </c>
      <c r="H3" s="1">
        <v>24935</v>
      </c>
      <c r="I3">
        <v>148480</v>
      </c>
      <c r="J3">
        <v>20.18</v>
      </c>
      <c r="K3">
        <f>F3*C3</f>
        <v>123545</v>
      </c>
      <c r="L3">
        <f>K3/$K$57</f>
        <v>9.7336598597345864E-2</v>
      </c>
    </row>
    <row r="4" spans="1:12" x14ac:dyDescent="0.3">
      <c r="A4" t="s">
        <v>49</v>
      </c>
      <c r="B4" t="s">
        <v>50</v>
      </c>
      <c r="C4">
        <v>425</v>
      </c>
      <c r="D4" t="s">
        <v>12</v>
      </c>
      <c r="E4">
        <v>280.18</v>
      </c>
      <c r="F4">
        <v>208.21</v>
      </c>
      <c r="G4">
        <v>3.19</v>
      </c>
      <c r="H4" s="1">
        <v>30587.25</v>
      </c>
      <c r="I4">
        <v>119076.5</v>
      </c>
      <c r="J4">
        <v>34.57</v>
      </c>
      <c r="K4">
        <f>F4*C4</f>
        <v>88489.25</v>
      </c>
      <c r="L4">
        <f>K4/$K$57</f>
        <v>6.9717452000729999E-2</v>
      </c>
    </row>
    <row r="5" spans="1:12" x14ac:dyDescent="0.3">
      <c r="A5" t="s">
        <v>77</v>
      </c>
      <c r="B5" t="s">
        <v>78</v>
      </c>
      <c r="C5">
        <v>500</v>
      </c>
      <c r="D5" t="s">
        <v>12</v>
      </c>
      <c r="E5">
        <v>217.52</v>
      </c>
      <c r="F5">
        <v>172.41</v>
      </c>
      <c r="G5">
        <v>0.23</v>
      </c>
      <c r="H5" s="1">
        <v>22555</v>
      </c>
      <c r="I5">
        <v>108760</v>
      </c>
      <c r="J5">
        <v>26.16</v>
      </c>
      <c r="K5">
        <f>F5*C5</f>
        <v>86205</v>
      </c>
      <c r="L5">
        <f>K5/$K$57</f>
        <v>6.7917774754819707E-2</v>
      </c>
    </row>
    <row r="6" spans="1:12" x14ac:dyDescent="0.3">
      <c r="A6" t="s">
        <v>81</v>
      </c>
      <c r="B6" t="s">
        <v>82</v>
      </c>
      <c r="C6">
        <v>2500</v>
      </c>
      <c r="D6" t="s">
        <v>12</v>
      </c>
      <c r="E6">
        <v>16.25</v>
      </c>
      <c r="F6">
        <v>32.159999999999997</v>
      </c>
      <c r="G6">
        <v>0.13</v>
      </c>
      <c r="H6" s="1">
        <v>-39775</v>
      </c>
      <c r="I6">
        <v>40625</v>
      </c>
      <c r="J6">
        <v>-49.47</v>
      </c>
      <c r="K6">
        <f>F6*C6</f>
        <v>80399.999999999985</v>
      </c>
      <c r="L6">
        <f>K6/$K$57</f>
        <v>6.3344227020329491E-2</v>
      </c>
    </row>
    <row r="7" spans="1:12" x14ac:dyDescent="0.3">
      <c r="A7" t="s">
        <v>51</v>
      </c>
      <c r="B7" t="s">
        <v>52</v>
      </c>
      <c r="C7">
        <v>690</v>
      </c>
      <c r="D7" t="s">
        <v>12</v>
      </c>
      <c r="E7">
        <v>130.25</v>
      </c>
      <c r="F7">
        <v>113.408985507246</v>
      </c>
      <c r="G7">
        <v>-0.18</v>
      </c>
      <c r="H7" s="1">
        <v>11620.3</v>
      </c>
      <c r="I7">
        <v>89872.5</v>
      </c>
      <c r="J7">
        <v>14.85</v>
      </c>
      <c r="K7">
        <f>F7*C7</f>
        <v>78252.199999999735</v>
      </c>
      <c r="L7">
        <f>K7/$K$57</f>
        <v>6.1652053751743915E-2</v>
      </c>
    </row>
    <row r="8" spans="1:12" x14ac:dyDescent="0.3">
      <c r="A8" t="s">
        <v>55</v>
      </c>
      <c r="B8" t="s">
        <v>56</v>
      </c>
      <c r="C8">
        <v>1000</v>
      </c>
      <c r="D8" t="s">
        <v>12</v>
      </c>
      <c r="E8">
        <v>76.44</v>
      </c>
      <c r="F8">
        <v>71.31</v>
      </c>
      <c r="G8">
        <v>-0.74</v>
      </c>
      <c r="H8" s="1">
        <v>5130</v>
      </c>
      <c r="I8">
        <v>76440</v>
      </c>
      <c r="J8">
        <v>7.19</v>
      </c>
      <c r="K8">
        <f>F8*C8</f>
        <v>71310</v>
      </c>
      <c r="L8">
        <f>K8/$K$57</f>
        <v>5.618254762213553E-2</v>
      </c>
    </row>
    <row r="9" spans="1:12" x14ac:dyDescent="0.3">
      <c r="A9" t="s">
        <v>33</v>
      </c>
      <c r="B9" t="s">
        <v>34</v>
      </c>
      <c r="C9">
        <v>1250</v>
      </c>
      <c r="D9" t="s">
        <v>12</v>
      </c>
      <c r="E9">
        <v>39.32</v>
      </c>
      <c r="F9">
        <v>41.05</v>
      </c>
      <c r="G9">
        <v>0.2</v>
      </c>
      <c r="H9" s="1">
        <v>-2162.5</v>
      </c>
      <c r="I9">
        <v>49150</v>
      </c>
      <c r="J9">
        <v>-4.21</v>
      </c>
      <c r="K9">
        <f>F9*C9</f>
        <v>51312.5</v>
      </c>
      <c r="L9">
        <f>K9/$K$57</f>
        <v>4.0427246877868868E-2</v>
      </c>
    </row>
    <row r="10" spans="1:12" x14ac:dyDescent="0.3">
      <c r="A10" t="s">
        <v>91</v>
      </c>
      <c r="B10" t="s">
        <v>92</v>
      </c>
      <c r="C10">
        <v>500</v>
      </c>
      <c r="D10" t="s">
        <v>12</v>
      </c>
      <c r="E10">
        <v>81.63</v>
      </c>
      <c r="F10">
        <v>92.53</v>
      </c>
      <c r="G10">
        <v>-0.05</v>
      </c>
      <c r="H10" s="1">
        <v>-5450</v>
      </c>
      <c r="I10">
        <v>40815</v>
      </c>
      <c r="J10">
        <v>-11.78</v>
      </c>
      <c r="K10">
        <f>F10*C10</f>
        <v>46265</v>
      </c>
      <c r="L10">
        <f>K10/$K$57</f>
        <v>3.6450505759894829E-2</v>
      </c>
    </row>
    <row r="11" spans="1:12" x14ac:dyDescent="0.3">
      <c r="A11" t="s">
        <v>85</v>
      </c>
      <c r="B11" t="s">
        <v>86</v>
      </c>
      <c r="C11">
        <v>75</v>
      </c>
      <c r="D11" t="s">
        <v>12</v>
      </c>
      <c r="E11">
        <v>769.66</v>
      </c>
      <c r="F11">
        <v>587.84</v>
      </c>
      <c r="G11">
        <v>4.29</v>
      </c>
      <c r="H11" s="1">
        <v>13636.5</v>
      </c>
      <c r="I11">
        <v>57724.5</v>
      </c>
      <c r="J11">
        <v>30.93</v>
      </c>
      <c r="K11">
        <f>F11*C11</f>
        <v>44088</v>
      </c>
      <c r="L11">
        <f>K11/$K$57</f>
        <v>3.4735326876520978E-2</v>
      </c>
    </row>
    <row r="12" spans="1:12" s="2" customFormat="1" x14ac:dyDescent="0.3">
      <c r="A12" s="2" t="s">
        <v>93</v>
      </c>
      <c r="B12" s="2" t="s">
        <v>94</v>
      </c>
      <c r="C12" s="2">
        <v>1000</v>
      </c>
      <c r="D12" s="2" t="s">
        <v>12</v>
      </c>
      <c r="E12" s="2">
        <v>58.34</v>
      </c>
      <c r="F12" s="2">
        <v>40</v>
      </c>
      <c r="G12" s="2">
        <v>1.92</v>
      </c>
      <c r="H12" s="3">
        <v>18340</v>
      </c>
      <c r="I12" s="2">
        <v>58340</v>
      </c>
      <c r="J12" s="2">
        <v>45.85</v>
      </c>
      <c r="K12" s="2">
        <f>F12*C12</f>
        <v>40000</v>
      </c>
      <c r="L12" s="2">
        <f>K12/$K$57</f>
        <v>3.1514540806134077E-2</v>
      </c>
    </row>
    <row r="13" spans="1:12" x14ac:dyDescent="0.3">
      <c r="A13" t="s">
        <v>43</v>
      </c>
      <c r="B13" t="s">
        <v>44</v>
      </c>
      <c r="C13">
        <v>600</v>
      </c>
      <c r="D13" t="s">
        <v>12</v>
      </c>
      <c r="E13">
        <v>46.74</v>
      </c>
      <c r="F13">
        <v>55.49</v>
      </c>
      <c r="G13">
        <v>0.15</v>
      </c>
      <c r="H13" s="1">
        <v>-5250</v>
      </c>
      <c r="I13">
        <v>28044</v>
      </c>
      <c r="J13">
        <v>-15.77</v>
      </c>
      <c r="K13">
        <f>F13*C13</f>
        <v>33294</v>
      </c>
      <c r="L13">
        <f>K13/$K$57</f>
        <v>2.6231128039985698E-2</v>
      </c>
    </row>
    <row r="14" spans="1:12" x14ac:dyDescent="0.3">
      <c r="A14" t="s">
        <v>35</v>
      </c>
      <c r="B14" t="s">
        <v>36</v>
      </c>
      <c r="C14">
        <v>1000</v>
      </c>
      <c r="D14" t="s">
        <v>12</v>
      </c>
      <c r="E14">
        <v>32.5</v>
      </c>
      <c r="F14">
        <v>32.244999999999997</v>
      </c>
      <c r="G14">
        <v>-0.01</v>
      </c>
      <c r="H14">
        <v>255</v>
      </c>
      <c r="I14">
        <v>32500</v>
      </c>
      <c r="J14">
        <v>0.79</v>
      </c>
      <c r="K14">
        <f>F14*C14</f>
        <v>32244.999999999996</v>
      </c>
      <c r="L14">
        <f>K14/$K$57</f>
        <v>2.5404659207344832E-2</v>
      </c>
    </row>
    <row r="15" spans="1:12" x14ac:dyDescent="0.3">
      <c r="A15" t="s">
        <v>53</v>
      </c>
      <c r="B15" t="s">
        <v>54</v>
      </c>
      <c r="C15">
        <v>230</v>
      </c>
      <c r="D15" t="s">
        <v>12</v>
      </c>
      <c r="E15">
        <v>157.09</v>
      </c>
      <c r="F15">
        <v>134.55739130434799</v>
      </c>
      <c r="G15">
        <v>0.57999999999999996</v>
      </c>
      <c r="H15" s="1">
        <v>5182.5</v>
      </c>
      <c r="I15">
        <v>36130.699999999997</v>
      </c>
      <c r="J15">
        <v>16.75</v>
      </c>
      <c r="K15">
        <f>F15*C15</f>
        <v>30948.200000000037</v>
      </c>
      <c r="L15">
        <f>K15/$K$57</f>
        <v>2.4382957794409996E-2</v>
      </c>
    </row>
    <row r="16" spans="1:12" s="2" customFormat="1" x14ac:dyDescent="0.3">
      <c r="A16" s="2" t="s">
        <v>99</v>
      </c>
      <c r="B16" s="2" t="s">
        <v>100</v>
      </c>
      <c r="C16" s="2">
        <v>100</v>
      </c>
      <c r="D16" s="2" t="s">
        <v>12</v>
      </c>
      <c r="E16" s="2">
        <v>410.39</v>
      </c>
      <c r="F16" s="2">
        <v>301.67</v>
      </c>
      <c r="G16" s="2">
        <v>-0.31</v>
      </c>
      <c r="H16" s="3">
        <v>10872</v>
      </c>
      <c r="I16" s="2">
        <v>41039</v>
      </c>
      <c r="J16" s="2">
        <v>36.04</v>
      </c>
      <c r="K16" s="2">
        <f>F16*C16</f>
        <v>30167</v>
      </c>
      <c r="L16" s="2">
        <f>K16/$K$57</f>
        <v>2.3767478812466169E-2</v>
      </c>
    </row>
    <row r="17" spans="1:12" x14ac:dyDescent="0.3">
      <c r="A17" t="s">
        <v>13</v>
      </c>
      <c r="B17" t="s">
        <v>14</v>
      </c>
      <c r="C17">
        <v>300</v>
      </c>
      <c r="D17" t="s">
        <v>12</v>
      </c>
      <c r="E17">
        <v>96.09</v>
      </c>
      <c r="F17">
        <v>99.98</v>
      </c>
      <c r="G17">
        <v>0.04</v>
      </c>
      <c r="H17" s="1">
        <v>-1167</v>
      </c>
      <c r="I17">
        <v>28827</v>
      </c>
      <c r="J17">
        <v>-3.89</v>
      </c>
      <c r="K17">
        <f>F17*C17</f>
        <v>29994</v>
      </c>
      <c r="L17">
        <f>K17/$K$57</f>
        <v>2.3631178423479639E-2</v>
      </c>
    </row>
    <row r="18" spans="1:12" x14ac:dyDescent="0.3">
      <c r="A18" t="s">
        <v>57</v>
      </c>
      <c r="B18" t="s">
        <v>58</v>
      </c>
      <c r="C18">
        <v>250</v>
      </c>
      <c r="D18" t="s">
        <v>12</v>
      </c>
      <c r="E18">
        <v>97.97</v>
      </c>
      <c r="F18">
        <v>99.43</v>
      </c>
      <c r="G18">
        <v>-0.86</v>
      </c>
      <c r="H18">
        <v>-365</v>
      </c>
      <c r="I18">
        <v>24492.5</v>
      </c>
      <c r="J18">
        <v>-1.47</v>
      </c>
      <c r="K18">
        <f>F18*C18</f>
        <v>24857.5</v>
      </c>
      <c r="L18">
        <f>K18/$K$57</f>
        <v>1.9584317452211945E-2</v>
      </c>
    </row>
    <row r="19" spans="1:12" x14ac:dyDescent="0.3">
      <c r="A19" t="s">
        <v>41</v>
      </c>
      <c r="B19" t="s">
        <v>42</v>
      </c>
      <c r="C19">
        <v>200</v>
      </c>
      <c r="D19" t="s">
        <v>12</v>
      </c>
      <c r="E19">
        <v>139.68</v>
      </c>
      <c r="F19">
        <v>118.64</v>
      </c>
      <c r="G19">
        <v>0.75</v>
      </c>
      <c r="H19" s="1">
        <v>4208</v>
      </c>
      <c r="I19">
        <v>27936</v>
      </c>
      <c r="J19">
        <v>17.73</v>
      </c>
      <c r="K19">
        <f>F19*C19</f>
        <v>23728</v>
      </c>
      <c r="L19">
        <f>K19/$K$57</f>
        <v>1.8694425606198734E-2</v>
      </c>
    </row>
    <row r="20" spans="1:12" x14ac:dyDescent="0.3">
      <c r="A20" t="s">
        <v>101</v>
      </c>
      <c r="B20" t="s">
        <v>102</v>
      </c>
      <c r="C20">
        <v>1000</v>
      </c>
      <c r="D20" t="s">
        <v>12</v>
      </c>
      <c r="E20">
        <v>24.164999999999999</v>
      </c>
      <c r="F20">
        <v>23.11</v>
      </c>
      <c r="G20">
        <v>0.12</v>
      </c>
      <c r="H20" s="1">
        <v>1055</v>
      </c>
      <c r="I20">
        <v>24165</v>
      </c>
      <c r="J20">
        <v>4.57</v>
      </c>
      <c r="K20">
        <f>F20*C20</f>
        <v>23110</v>
      </c>
      <c r="L20">
        <f>K20/$K$57</f>
        <v>1.8207525950743965E-2</v>
      </c>
    </row>
    <row r="21" spans="1:12" x14ac:dyDescent="0.3">
      <c r="A21" t="s">
        <v>110</v>
      </c>
      <c r="B21" t="s">
        <v>111</v>
      </c>
      <c r="C21">
        <v>20</v>
      </c>
      <c r="D21" t="s">
        <v>12</v>
      </c>
      <c r="E21">
        <v>978.29</v>
      </c>
      <c r="F21">
        <v>978.29</v>
      </c>
      <c r="G21">
        <v>0</v>
      </c>
      <c r="H21">
        <v>0</v>
      </c>
      <c r="I21">
        <v>19565.8</v>
      </c>
      <c r="J21">
        <v>0</v>
      </c>
      <c r="K21">
        <f>F21*C21</f>
        <v>19565.8</v>
      </c>
      <c r="L21">
        <f>K21/$K$57</f>
        <v>1.5415180062616453E-2</v>
      </c>
    </row>
    <row r="22" spans="1:12" x14ac:dyDescent="0.3">
      <c r="A22" t="s">
        <v>105</v>
      </c>
      <c r="B22" t="s">
        <v>106</v>
      </c>
      <c r="C22">
        <v>1000</v>
      </c>
      <c r="D22" t="s">
        <v>12</v>
      </c>
      <c r="E22">
        <v>21.11</v>
      </c>
      <c r="F22">
        <v>18.62</v>
      </c>
      <c r="G22">
        <v>0.22</v>
      </c>
      <c r="H22" s="1">
        <v>2490</v>
      </c>
      <c r="I22">
        <v>21110</v>
      </c>
      <c r="J22">
        <v>13.37</v>
      </c>
      <c r="K22">
        <f>F22*C22</f>
        <v>18620</v>
      </c>
      <c r="L22">
        <f>K22/$K$57</f>
        <v>1.4670018745255413E-2</v>
      </c>
    </row>
    <row r="23" spans="1:12" x14ac:dyDescent="0.3">
      <c r="A23" t="s">
        <v>17</v>
      </c>
      <c r="B23" t="s">
        <v>18</v>
      </c>
      <c r="C23">
        <v>600</v>
      </c>
      <c r="D23" t="s">
        <v>12</v>
      </c>
      <c r="E23">
        <v>30.78</v>
      </c>
      <c r="F23">
        <v>28.89</v>
      </c>
      <c r="G23">
        <v>-0.16</v>
      </c>
      <c r="H23" s="1">
        <v>1134</v>
      </c>
      <c r="I23">
        <v>18468</v>
      </c>
      <c r="J23">
        <v>6.54</v>
      </c>
      <c r="K23">
        <f>F23*C23</f>
        <v>17334</v>
      </c>
      <c r="L23">
        <f>K23/$K$57</f>
        <v>1.3656826258338202E-2</v>
      </c>
    </row>
    <row r="24" spans="1:12" x14ac:dyDescent="0.3">
      <c r="A24" t="s">
        <v>112</v>
      </c>
      <c r="B24" t="s">
        <v>113</v>
      </c>
      <c r="C24">
        <v>20</v>
      </c>
      <c r="D24" t="s">
        <v>12</v>
      </c>
      <c r="E24">
        <v>724.25573499999996</v>
      </c>
      <c r="F24">
        <v>789.82326</v>
      </c>
      <c r="G24">
        <v>0</v>
      </c>
      <c r="H24" s="1">
        <v>-1311.35</v>
      </c>
      <c r="I24">
        <v>14485.1147</v>
      </c>
      <c r="J24">
        <v>-8.3000000000000007</v>
      </c>
      <c r="K24">
        <f>F24*C24</f>
        <v>15796.465200000001</v>
      </c>
      <c r="L24">
        <f>K24/$K$57</f>
        <v>1.2445458678451923E-2</v>
      </c>
    </row>
    <row r="25" spans="1:12" x14ac:dyDescent="0.3">
      <c r="A25" t="s">
        <v>61</v>
      </c>
      <c r="B25" t="s">
        <v>62</v>
      </c>
      <c r="C25">
        <v>250</v>
      </c>
      <c r="D25" t="s">
        <v>12</v>
      </c>
      <c r="E25">
        <v>49.08</v>
      </c>
      <c r="F25">
        <v>48.83</v>
      </c>
      <c r="G25">
        <v>-0.04</v>
      </c>
      <c r="H25">
        <v>62.5</v>
      </c>
      <c r="I25">
        <v>12270</v>
      </c>
      <c r="J25">
        <v>0.51</v>
      </c>
      <c r="K25">
        <f>F25*C25</f>
        <v>12207.5</v>
      </c>
      <c r="L25">
        <f>K25/$K$57</f>
        <v>9.6178439222720444E-3</v>
      </c>
    </row>
    <row r="26" spans="1:12" x14ac:dyDescent="0.3">
      <c r="A26" t="s">
        <v>79</v>
      </c>
      <c r="B26" t="s">
        <v>80</v>
      </c>
      <c r="C26">
        <v>200</v>
      </c>
      <c r="D26" t="s">
        <v>12</v>
      </c>
      <c r="E26">
        <v>62.314700000000002</v>
      </c>
      <c r="F26">
        <v>54.75</v>
      </c>
      <c r="G26">
        <v>0.43</v>
      </c>
      <c r="H26" s="1">
        <v>1512.94</v>
      </c>
      <c r="I26">
        <v>12462.94</v>
      </c>
      <c r="J26">
        <v>13.82</v>
      </c>
      <c r="K26">
        <f>F26*C26</f>
        <v>10950</v>
      </c>
      <c r="L26">
        <f>K26/$K$57</f>
        <v>8.6271055456792044E-3</v>
      </c>
    </row>
    <row r="27" spans="1:12" x14ac:dyDescent="0.3">
      <c r="A27" t="s">
        <v>39</v>
      </c>
      <c r="B27" t="s">
        <v>40</v>
      </c>
      <c r="C27">
        <v>200</v>
      </c>
      <c r="D27" t="s">
        <v>12</v>
      </c>
      <c r="E27">
        <v>59.85</v>
      </c>
      <c r="F27">
        <v>46.37</v>
      </c>
      <c r="G27">
        <v>0.05</v>
      </c>
      <c r="H27" s="1">
        <v>2696</v>
      </c>
      <c r="I27">
        <v>11970</v>
      </c>
      <c r="J27">
        <v>29.07</v>
      </c>
      <c r="K27">
        <f>F27*C27</f>
        <v>9274</v>
      </c>
      <c r="L27">
        <f>K27/$K$57</f>
        <v>7.3066462859021856E-3</v>
      </c>
    </row>
    <row r="28" spans="1:12" x14ac:dyDescent="0.3">
      <c r="A28" t="s">
        <v>97</v>
      </c>
      <c r="B28" t="s">
        <v>98</v>
      </c>
      <c r="C28">
        <v>95</v>
      </c>
      <c r="D28" t="s">
        <v>12</v>
      </c>
      <c r="E28">
        <v>65.78</v>
      </c>
      <c r="F28">
        <v>78.865789473684202</v>
      </c>
      <c r="G28">
        <v>-0.35</v>
      </c>
      <c r="H28" s="1">
        <v>-1243.1500000000001</v>
      </c>
      <c r="I28">
        <v>6249.1</v>
      </c>
      <c r="J28">
        <v>-16.59</v>
      </c>
      <c r="K28">
        <f>F28*C28</f>
        <v>7492.2499999999991</v>
      </c>
      <c r="L28">
        <f>K28/$K$57</f>
        <v>5.9028704588689499E-3</v>
      </c>
    </row>
    <row r="29" spans="1:12" x14ac:dyDescent="0.3">
      <c r="A29" t="s">
        <v>23</v>
      </c>
      <c r="B29" t="s">
        <v>24</v>
      </c>
      <c r="C29">
        <v>100</v>
      </c>
      <c r="D29" t="s">
        <v>12</v>
      </c>
      <c r="E29">
        <v>71.88</v>
      </c>
      <c r="F29">
        <v>72.37</v>
      </c>
      <c r="G29">
        <v>-0.57999999999999996</v>
      </c>
      <c r="H29">
        <v>-49</v>
      </c>
      <c r="I29">
        <v>7188</v>
      </c>
      <c r="J29">
        <v>-0.68</v>
      </c>
      <c r="K29">
        <f>F29*C29</f>
        <v>7237</v>
      </c>
      <c r="L29">
        <f>K29/$K$57</f>
        <v>5.7017682953498083E-3</v>
      </c>
    </row>
    <row r="30" spans="1:12" x14ac:dyDescent="0.3">
      <c r="A30" t="s">
        <v>73</v>
      </c>
      <c r="B30" t="s">
        <v>74</v>
      </c>
      <c r="C30">
        <v>33</v>
      </c>
      <c r="D30" t="s">
        <v>12</v>
      </c>
      <c r="E30">
        <v>130.53</v>
      </c>
      <c r="F30">
        <v>188.1</v>
      </c>
      <c r="G30">
        <v>4.47</v>
      </c>
      <c r="H30" s="1">
        <v>-1899.81</v>
      </c>
      <c r="I30">
        <v>4307.49</v>
      </c>
      <c r="J30">
        <v>-30.61</v>
      </c>
      <c r="K30">
        <f>F30*C30</f>
        <v>6207.3</v>
      </c>
      <c r="L30">
        <f>K30/$K$57</f>
        <v>4.8905052286479017E-3</v>
      </c>
    </row>
    <row r="31" spans="1:12" x14ac:dyDescent="0.3">
      <c r="A31" t="s">
        <v>71</v>
      </c>
      <c r="B31" t="s">
        <v>72</v>
      </c>
      <c r="C31">
        <v>35</v>
      </c>
      <c r="D31" t="s">
        <v>12</v>
      </c>
      <c r="E31">
        <v>217.94</v>
      </c>
      <c r="F31">
        <v>177.17</v>
      </c>
      <c r="G31">
        <v>1.94</v>
      </c>
      <c r="H31" s="1">
        <v>1426.95</v>
      </c>
      <c r="I31">
        <v>7627.9</v>
      </c>
      <c r="J31">
        <v>23.01</v>
      </c>
      <c r="K31">
        <f>F31*C31</f>
        <v>6200.95</v>
      </c>
      <c r="L31">
        <f>K31/$K$57</f>
        <v>4.8855022952949273E-3</v>
      </c>
    </row>
    <row r="32" spans="1:12" x14ac:dyDescent="0.3">
      <c r="A32" t="s">
        <v>65</v>
      </c>
      <c r="B32" t="s">
        <v>66</v>
      </c>
      <c r="C32">
        <v>12</v>
      </c>
      <c r="D32" t="s">
        <v>12</v>
      </c>
      <c r="E32">
        <v>531.33000000000004</v>
      </c>
      <c r="F32">
        <v>479.49</v>
      </c>
      <c r="G32">
        <v>-1.27</v>
      </c>
      <c r="H32">
        <v>622.08000000000004</v>
      </c>
      <c r="I32">
        <v>6375.96</v>
      </c>
      <c r="J32">
        <v>10.81</v>
      </c>
      <c r="K32">
        <f>F32*C32</f>
        <v>5753.88</v>
      </c>
      <c r="L32">
        <f>K32/$K$57</f>
        <v>4.5332721513399689E-3</v>
      </c>
    </row>
    <row r="33" spans="1:12" x14ac:dyDescent="0.3">
      <c r="A33" t="s">
        <v>118</v>
      </c>
      <c r="B33" t="s">
        <v>119</v>
      </c>
      <c r="C33">
        <v>40</v>
      </c>
      <c r="D33" t="s">
        <v>12</v>
      </c>
      <c r="E33">
        <v>102.88</v>
      </c>
      <c r="F33">
        <v>139.91</v>
      </c>
      <c r="G33">
        <v>0</v>
      </c>
      <c r="H33" s="1">
        <v>-1481.2</v>
      </c>
      <c r="I33">
        <v>4115.2</v>
      </c>
      <c r="J33">
        <v>-26.47</v>
      </c>
      <c r="K33">
        <f>F33*C33</f>
        <v>5596.4</v>
      </c>
      <c r="L33">
        <f>K33/$K$57</f>
        <v>4.4091994041862183E-3</v>
      </c>
    </row>
    <row r="34" spans="1:12" x14ac:dyDescent="0.3">
      <c r="A34" t="s">
        <v>116</v>
      </c>
      <c r="B34" t="s">
        <v>117</v>
      </c>
      <c r="C34">
        <v>2</v>
      </c>
      <c r="D34" t="s">
        <v>12</v>
      </c>
      <c r="E34">
        <v>2366.2399999999998</v>
      </c>
      <c r="F34">
        <v>2394.79</v>
      </c>
      <c r="G34">
        <v>0</v>
      </c>
      <c r="H34">
        <v>-57.1</v>
      </c>
      <c r="I34">
        <v>4732.4799999999996</v>
      </c>
      <c r="J34">
        <v>-1.19</v>
      </c>
      <c r="K34">
        <f>F34*C34</f>
        <v>4789.58</v>
      </c>
      <c r="L34">
        <f>K34/$K$57</f>
        <v>3.7735353588560913E-3</v>
      </c>
    </row>
    <row r="35" spans="1:12" x14ac:dyDescent="0.3">
      <c r="A35" t="s">
        <v>31</v>
      </c>
      <c r="B35" t="s">
        <v>32</v>
      </c>
      <c r="C35">
        <v>200</v>
      </c>
      <c r="D35" t="s">
        <v>12</v>
      </c>
      <c r="E35">
        <v>10.34</v>
      </c>
      <c r="F35">
        <v>21.67</v>
      </c>
      <c r="G35">
        <v>-0.18</v>
      </c>
      <c r="H35" s="1">
        <v>-2266</v>
      </c>
      <c r="I35">
        <v>2068</v>
      </c>
      <c r="J35">
        <v>-52.28</v>
      </c>
      <c r="K35">
        <f>F35*C35</f>
        <v>4334</v>
      </c>
      <c r="L35">
        <f>K35/$K$57</f>
        <v>3.4146004963446271E-3</v>
      </c>
    </row>
    <row r="36" spans="1:12" x14ac:dyDescent="0.3">
      <c r="A36" t="s">
        <v>19</v>
      </c>
      <c r="B36" t="s">
        <v>20</v>
      </c>
      <c r="C36">
        <v>50</v>
      </c>
      <c r="D36" t="s">
        <v>12</v>
      </c>
      <c r="E36">
        <v>41.96</v>
      </c>
      <c r="F36">
        <v>77.97</v>
      </c>
      <c r="G36">
        <v>2.5099999999999998</v>
      </c>
      <c r="H36" s="1">
        <v>-1800.5</v>
      </c>
      <c r="I36">
        <v>2098</v>
      </c>
      <c r="J36">
        <v>-46.18</v>
      </c>
      <c r="K36">
        <f>F36*C36</f>
        <v>3898.5</v>
      </c>
      <c r="L36">
        <f>K36/$K$57</f>
        <v>3.0714859333178424E-3</v>
      </c>
    </row>
    <row r="37" spans="1:12" x14ac:dyDescent="0.3">
      <c r="A37" t="s">
        <v>59</v>
      </c>
      <c r="B37" t="s">
        <v>60</v>
      </c>
      <c r="C37">
        <v>70</v>
      </c>
      <c r="D37" t="s">
        <v>12</v>
      </c>
      <c r="E37">
        <v>23.75</v>
      </c>
      <c r="F37">
        <v>44</v>
      </c>
      <c r="G37">
        <v>0.83</v>
      </c>
      <c r="H37" s="1">
        <v>-1417.5</v>
      </c>
      <c r="I37">
        <v>1662.5</v>
      </c>
      <c r="J37">
        <v>-46.02</v>
      </c>
      <c r="K37">
        <f>F37*C37</f>
        <v>3080</v>
      </c>
      <c r="L37">
        <f>K37/$K$57</f>
        <v>2.4266196420723238E-3</v>
      </c>
    </row>
    <row r="38" spans="1:12" x14ac:dyDescent="0.3">
      <c r="A38" t="s">
        <v>37</v>
      </c>
      <c r="B38" t="s">
        <v>38</v>
      </c>
      <c r="C38">
        <v>3</v>
      </c>
      <c r="D38" t="s">
        <v>12</v>
      </c>
      <c r="E38">
        <v>911.77</v>
      </c>
      <c r="F38">
        <v>798.91</v>
      </c>
      <c r="G38">
        <v>18.489999999999998</v>
      </c>
      <c r="H38">
        <v>338.58</v>
      </c>
      <c r="I38">
        <v>2735.31</v>
      </c>
      <c r="J38">
        <v>14.13</v>
      </c>
      <c r="K38">
        <f>F38*C38</f>
        <v>2396.73</v>
      </c>
      <c r="L38">
        <f>K38/$K$57</f>
        <v>1.8882961346571431E-3</v>
      </c>
    </row>
    <row r="39" spans="1:12" x14ac:dyDescent="0.3">
      <c r="A39" t="s">
        <v>67</v>
      </c>
      <c r="B39" t="s">
        <v>68</v>
      </c>
      <c r="C39">
        <v>60</v>
      </c>
      <c r="D39" t="s">
        <v>12</v>
      </c>
      <c r="E39">
        <v>43.69</v>
      </c>
      <c r="F39">
        <v>37.799999999999997</v>
      </c>
      <c r="G39">
        <v>-1.52</v>
      </c>
      <c r="H39">
        <v>353.4</v>
      </c>
      <c r="I39">
        <v>2621.4</v>
      </c>
      <c r="J39">
        <v>15.58</v>
      </c>
      <c r="K39">
        <f>F39*C39</f>
        <v>2268</v>
      </c>
      <c r="L39">
        <f>K39/$K$57</f>
        <v>1.7868744637078021E-3</v>
      </c>
    </row>
    <row r="40" spans="1:12" x14ac:dyDescent="0.3">
      <c r="A40" t="s">
        <v>95</v>
      </c>
      <c r="B40" t="s">
        <v>96</v>
      </c>
      <c r="C40">
        <v>20</v>
      </c>
      <c r="D40" t="s">
        <v>12</v>
      </c>
      <c r="E40">
        <v>103.63</v>
      </c>
      <c r="F40">
        <v>106</v>
      </c>
      <c r="G40">
        <v>0.14000000000000001</v>
      </c>
      <c r="H40">
        <v>-47.4</v>
      </c>
      <c r="I40">
        <v>2072.6</v>
      </c>
      <c r="J40">
        <v>-2.2400000000000002</v>
      </c>
      <c r="K40">
        <f>F40*C40</f>
        <v>2120</v>
      </c>
      <c r="L40">
        <f>K40/$K$57</f>
        <v>1.6702706627251061E-3</v>
      </c>
    </row>
    <row r="41" spans="1:12" x14ac:dyDescent="0.3">
      <c r="A41" t="s">
        <v>103</v>
      </c>
      <c r="B41" t="s">
        <v>104</v>
      </c>
      <c r="C41">
        <v>25</v>
      </c>
      <c r="D41" t="s">
        <v>12</v>
      </c>
      <c r="E41">
        <v>82.66</v>
      </c>
      <c r="F41">
        <v>82.7</v>
      </c>
      <c r="G41">
        <v>0.01</v>
      </c>
      <c r="H41">
        <v>-1</v>
      </c>
      <c r="I41">
        <v>2066.5</v>
      </c>
      <c r="J41">
        <v>-0.05</v>
      </c>
      <c r="K41">
        <f>F41*C41</f>
        <v>2067.5</v>
      </c>
      <c r="L41">
        <f>K41/$K$57</f>
        <v>1.6289078279170552E-3</v>
      </c>
    </row>
    <row r="42" spans="1:12" x14ac:dyDescent="0.3">
      <c r="A42" t="s">
        <v>63</v>
      </c>
      <c r="B42" t="s">
        <v>64</v>
      </c>
      <c r="C42">
        <v>13</v>
      </c>
      <c r="D42" t="s">
        <v>12</v>
      </c>
      <c r="E42">
        <v>186.91</v>
      </c>
      <c r="F42">
        <v>158.77000000000001</v>
      </c>
      <c r="G42">
        <v>3.42</v>
      </c>
      <c r="H42">
        <v>365.82</v>
      </c>
      <c r="I42">
        <v>2429.83</v>
      </c>
      <c r="J42">
        <v>17.72</v>
      </c>
      <c r="K42">
        <f>F42*C42</f>
        <v>2064.0100000000002</v>
      </c>
      <c r="L42">
        <f>K42/$K$57</f>
        <v>1.6261581842317201E-3</v>
      </c>
    </row>
    <row r="43" spans="1:12" x14ac:dyDescent="0.3">
      <c r="A43" t="s">
        <v>45</v>
      </c>
      <c r="B43" t="s">
        <v>46</v>
      </c>
      <c r="C43">
        <v>8</v>
      </c>
      <c r="D43" t="s">
        <v>12</v>
      </c>
      <c r="E43">
        <v>220.93</v>
      </c>
      <c r="F43">
        <v>257.44</v>
      </c>
      <c r="G43">
        <v>-10.1</v>
      </c>
      <c r="H43">
        <v>-292.08</v>
      </c>
      <c r="I43">
        <v>1767.44</v>
      </c>
      <c r="J43">
        <v>-14.18</v>
      </c>
      <c r="K43">
        <f>F43*C43</f>
        <v>2059.52</v>
      </c>
      <c r="L43">
        <f>K43/$K$57</f>
        <v>1.6226206770262313E-3</v>
      </c>
    </row>
    <row r="44" spans="1:12" x14ac:dyDescent="0.3">
      <c r="A44" t="s">
        <v>21</v>
      </c>
      <c r="B44" t="s">
        <v>22</v>
      </c>
      <c r="C44">
        <v>40</v>
      </c>
      <c r="D44" t="s">
        <v>12</v>
      </c>
      <c r="E44">
        <v>50.68</v>
      </c>
      <c r="F44">
        <v>51.44</v>
      </c>
      <c r="G44">
        <v>0.16</v>
      </c>
      <c r="H44">
        <v>-30.4</v>
      </c>
      <c r="I44">
        <v>2027.2</v>
      </c>
      <c r="J44">
        <v>-1.48</v>
      </c>
      <c r="K44">
        <f>F44*C44</f>
        <v>2057.6</v>
      </c>
      <c r="L44">
        <f>K44/$K$57</f>
        <v>1.6211079790675368E-3</v>
      </c>
    </row>
    <row r="45" spans="1:12" x14ac:dyDescent="0.3">
      <c r="A45" t="s">
        <v>27</v>
      </c>
      <c r="B45" t="s">
        <v>28</v>
      </c>
      <c r="C45">
        <v>9</v>
      </c>
      <c r="D45" t="s">
        <v>12</v>
      </c>
      <c r="E45">
        <v>203.44</v>
      </c>
      <c r="F45">
        <v>228.27</v>
      </c>
      <c r="G45">
        <v>1.0900000000000001</v>
      </c>
      <c r="H45">
        <v>-223.47</v>
      </c>
      <c r="I45">
        <v>1830.96</v>
      </c>
      <c r="J45">
        <v>-10.88</v>
      </c>
      <c r="K45">
        <f>F45*C45</f>
        <v>2054.4300000000003</v>
      </c>
      <c r="L45">
        <f>K45/$K$57</f>
        <v>1.6186104517086511E-3</v>
      </c>
    </row>
    <row r="46" spans="1:12" x14ac:dyDescent="0.3">
      <c r="A46" t="s">
        <v>25</v>
      </c>
      <c r="B46" t="s">
        <v>26</v>
      </c>
      <c r="C46">
        <v>20</v>
      </c>
      <c r="D46" t="s">
        <v>12</v>
      </c>
      <c r="E46">
        <v>122.69</v>
      </c>
      <c r="F46">
        <v>102.42</v>
      </c>
      <c r="G46">
        <v>1.65</v>
      </c>
      <c r="H46">
        <v>405.4</v>
      </c>
      <c r="I46">
        <v>2453.8000000000002</v>
      </c>
      <c r="J46">
        <v>19.79</v>
      </c>
      <c r="K46">
        <f>F46*C46</f>
        <v>2048.4</v>
      </c>
      <c r="L46">
        <f>K46/$K$57</f>
        <v>1.6138596346821261E-3</v>
      </c>
    </row>
    <row r="47" spans="1:12" x14ac:dyDescent="0.3">
      <c r="A47" t="s">
        <v>87</v>
      </c>
      <c r="B47" t="s">
        <v>88</v>
      </c>
      <c r="C47">
        <v>18</v>
      </c>
      <c r="D47" t="s">
        <v>12</v>
      </c>
      <c r="E47">
        <v>170.89</v>
      </c>
      <c r="F47">
        <v>112.45</v>
      </c>
      <c r="G47">
        <v>0.95</v>
      </c>
      <c r="H47" s="1">
        <v>1051.92</v>
      </c>
      <c r="I47">
        <v>3076.02</v>
      </c>
      <c r="J47">
        <v>51.97</v>
      </c>
      <c r="K47">
        <f>F47*C47</f>
        <v>2024.1000000000001</v>
      </c>
      <c r="L47">
        <f>K47/$K$57</f>
        <v>1.5947145511423998E-3</v>
      </c>
    </row>
    <row r="48" spans="1:12" x14ac:dyDescent="0.3">
      <c r="A48" t="s">
        <v>15</v>
      </c>
      <c r="B48" t="s">
        <v>16</v>
      </c>
      <c r="C48">
        <v>4</v>
      </c>
      <c r="D48" t="s">
        <v>12</v>
      </c>
      <c r="E48">
        <v>492.85</v>
      </c>
      <c r="F48">
        <v>492.49</v>
      </c>
      <c r="G48">
        <v>-0.75</v>
      </c>
      <c r="H48">
        <v>1.44</v>
      </c>
      <c r="I48">
        <v>1971.4</v>
      </c>
      <c r="J48">
        <v>7.0000000000000007E-2</v>
      </c>
      <c r="K48">
        <f>F48*C48</f>
        <v>1969.96</v>
      </c>
      <c r="L48">
        <f>K48/$K$57</f>
        <v>1.5520596201612973E-3</v>
      </c>
    </row>
    <row r="49" spans="1:12" x14ac:dyDescent="0.3">
      <c r="A49" t="s">
        <v>69</v>
      </c>
      <c r="B49" t="s">
        <v>70</v>
      </c>
      <c r="C49">
        <v>15</v>
      </c>
      <c r="D49" t="s">
        <v>12</v>
      </c>
      <c r="E49">
        <v>170.35</v>
      </c>
      <c r="F49">
        <v>130.1</v>
      </c>
      <c r="G49">
        <v>0.8</v>
      </c>
      <c r="H49">
        <v>603.75</v>
      </c>
      <c r="I49">
        <v>2555.25</v>
      </c>
      <c r="J49">
        <v>30.94</v>
      </c>
      <c r="K49">
        <f>F49*C49</f>
        <v>1951.5</v>
      </c>
      <c r="L49">
        <f>K49/$K$57</f>
        <v>1.5375156595792664E-3</v>
      </c>
    </row>
    <row r="50" spans="1:12" x14ac:dyDescent="0.3">
      <c r="A50" t="s">
        <v>10</v>
      </c>
      <c r="B50" t="s">
        <v>11</v>
      </c>
      <c r="C50">
        <v>8</v>
      </c>
      <c r="D50" t="s">
        <v>12</v>
      </c>
      <c r="E50">
        <v>235.16</v>
      </c>
      <c r="F50">
        <v>243</v>
      </c>
      <c r="G50">
        <v>-12.07</v>
      </c>
      <c r="H50">
        <v>-62.72</v>
      </c>
      <c r="I50">
        <v>1881.28</v>
      </c>
      <c r="J50">
        <v>-3.23</v>
      </c>
      <c r="K50">
        <f>F50*C50</f>
        <v>1944</v>
      </c>
      <c r="L50">
        <f>K50/$K$57</f>
        <v>1.5316066831781161E-3</v>
      </c>
    </row>
    <row r="51" spans="1:12" x14ac:dyDescent="0.3">
      <c r="A51" t="s">
        <v>47</v>
      </c>
      <c r="B51" t="s">
        <v>48</v>
      </c>
      <c r="C51">
        <v>85</v>
      </c>
      <c r="D51" t="s">
        <v>12</v>
      </c>
      <c r="E51">
        <v>28.43</v>
      </c>
      <c r="F51">
        <v>22.49</v>
      </c>
      <c r="G51">
        <v>-0.1</v>
      </c>
      <c r="H51">
        <v>504.9</v>
      </c>
      <c r="I51">
        <v>2416.5500000000002</v>
      </c>
      <c r="J51">
        <v>26.41</v>
      </c>
      <c r="K51">
        <f>F51*C51</f>
        <v>1911.6499999999999</v>
      </c>
      <c r="L51">
        <f>K51/$K$57</f>
        <v>1.506119298301155E-3</v>
      </c>
    </row>
    <row r="52" spans="1:12" x14ac:dyDescent="0.3">
      <c r="A52" t="s">
        <v>89</v>
      </c>
      <c r="B52" t="s">
        <v>90</v>
      </c>
      <c r="C52">
        <v>25</v>
      </c>
      <c r="D52" t="s">
        <v>12</v>
      </c>
      <c r="E52">
        <v>74.97</v>
      </c>
      <c r="F52">
        <v>75.819999999999993</v>
      </c>
      <c r="G52">
        <v>0.14000000000000001</v>
      </c>
      <c r="H52">
        <v>-21.25</v>
      </c>
      <c r="I52">
        <v>1874.25</v>
      </c>
      <c r="J52">
        <v>-1.1200000000000001</v>
      </c>
      <c r="K52">
        <f>F52*C52</f>
        <v>1895.4999999999998</v>
      </c>
      <c r="L52">
        <f>K52/$K$57</f>
        <v>1.4933953024506784E-3</v>
      </c>
    </row>
    <row r="53" spans="1:12" x14ac:dyDescent="0.3">
      <c r="A53" t="s">
        <v>29</v>
      </c>
      <c r="B53" t="s">
        <v>30</v>
      </c>
      <c r="C53">
        <v>20</v>
      </c>
      <c r="D53" t="s">
        <v>12</v>
      </c>
      <c r="E53">
        <v>117.83</v>
      </c>
      <c r="F53">
        <v>89.39</v>
      </c>
      <c r="G53">
        <v>-0.79</v>
      </c>
      <c r="H53">
        <v>568.79999999999995</v>
      </c>
      <c r="I53">
        <v>2356.6</v>
      </c>
      <c r="J53">
        <v>31.82</v>
      </c>
      <c r="K53">
        <f>F53*C53</f>
        <v>1787.8</v>
      </c>
      <c r="L53">
        <f>K53/$K$57</f>
        <v>1.4085424013301625E-3</v>
      </c>
    </row>
    <row r="54" spans="1:12" x14ac:dyDescent="0.3">
      <c r="A54" t="s">
        <v>109</v>
      </c>
      <c r="B54" t="s">
        <v>104</v>
      </c>
      <c r="C54">
        <v>10</v>
      </c>
      <c r="D54" t="s">
        <v>12</v>
      </c>
      <c r="E54">
        <v>20.11</v>
      </c>
      <c r="F54">
        <v>25.4</v>
      </c>
      <c r="G54">
        <v>1.96</v>
      </c>
      <c r="H54" s="1">
        <v>-5290</v>
      </c>
      <c r="I54">
        <v>20110</v>
      </c>
      <c r="J54">
        <v>-20.83</v>
      </c>
      <c r="K54">
        <f>F54*C54</f>
        <v>254</v>
      </c>
      <c r="L54">
        <f>K54/$K$57</f>
        <v>2.001173341189514E-4</v>
      </c>
    </row>
    <row r="55" spans="1:12" x14ac:dyDescent="0.3">
      <c r="A55" t="s">
        <v>107</v>
      </c>
      <c r="B55" t="s">
        <v>108</v>
      </c>
      <c r="C55">
        <v>25</v>
      </c>
      <c r="D55" t="s">
        <v>12</v>
      </c>
      <c r="E55">
        <v>2.91</v>
      </c>
      <c r="F55">
        <v>5.45</v>
      </c>
      <c r="G55">
        <v>0</v>
      </c>
      <c r="H55" s="1">
        <v>-6350</v>
      </c>
      <c r="I55">
        <v>7275</v>
      </c>
      <c r="J55">
        <v>-46.61</v>
      </c>
      <c r="K55">
        <f>F55*C55</f>
        <v>136.25</v>
      </c>
      <c r="L55">
        <f>K55/$K$57</f>
        <v>1.073464046208942E-4</v>
      </c>
    </row>
    <row r="56" spans="1:12" s="2" customFormat="1" x14ac:dyDescent="0.3">
      <c r="A56" s="2" t="s">
        <v>83</v>
      </c>
      <c r="B56" s="2" t="s">
        <v>84</v>
      </c>
      <c r="C56" s="2">
        <v>-40</v>
      </c>
      <c r="D56" s="2" t="s">
        <v>12</v>
      </c>
      <c r="E56" s="2">
        <v>511.06</v>
      </c>
      <c r="F56" s="2">
        <v>489.37</v>
      </c>
      <c r="G56" s="2">
        <v>19.23</v>
      </c>
      <c r="H56" s="2">
        <v>-867.6</v>
      </c>
      <c r="I56" s="2">
        <v>20442.400000000001</v>
      </c>
      <c r="J56" s="2">
        <v>-4.43</v>
      </c>
      <c r="K56" s="2">
        <f>F56*C56</f>
        <v>-19574.8</v>
      </c>
      <c r="L56" s="2">
        <f>K56/$K$57</f>
        <v>-1.5422270834297832E-2</v>
      </c>
    </row>
    <row r="57" spans="1:12" x14ac:dyDescent="0.3">
      <c r="K57">
        <f>SUM(K2:K56)</f>
        <v>1269255.3651999997</v>
      </c>
    </row>
  </sheetData>
  <sortState xmlns:xlrd2="http://schemas.microsoft.com/office/spreadsheetml/2017/richdata2" ref="A2:L57">
    <sortCondition descending="1" ref="L2:L5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OpenPosition_10_28_2026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de Andres Orea</dc:creator>
  <cp:lastModifiedBy>Fernando de Andres Orea</cp:lastModifiedBy>
  <dcterms:created xsi:type="dcterms:W3CDTF">2026-10-28T10:44:01Z</dcterms:created>
  <dcterms:modified xsi:type="dcterms:W3CDTF">2026-10-28T11:30:15Z</dcterms:modified>
</cp:coreProperties>
</file>