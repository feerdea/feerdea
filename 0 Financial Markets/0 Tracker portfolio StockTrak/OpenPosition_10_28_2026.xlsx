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Position_10_28_2026" sheetId="1" state="visible" r:id="rId3"/>
    <sheet name="Rebalance Oct-26" sheetId="2" state="visible" r:id="rId4"/>
    <sheet name="Allocation" sheetId="3" state="visible" r:id="rId5"/>
  </sheets>
  <definedNames>
    <definedName function="false" hidden="false" localSheetId="0" name="_xlnm.Print_Titles" vbProcedure="false">OpenPosition_10_28_2026!$5:$5</definedName>
    <definedName function="false" hidden="true" localSheetId="0" name="_xlnm._FilterDatabase" vbProcedure="false">OpenPosition_10_28_2026!$A$5:$O$60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6" authorId="0">
      <text>
        <r>
          <rPr>
            <sz val="10"/>
            <rFont val="Arial"/>
            <family val="2"/>
          </rPr>
          <t xml:space="preserve">Investment = PricePaid × Quantity (your original formula). Note: for the two option lines (WFC2815L72.5, PFE2618L27) this omits the 100x contract multiplier, so their cost basis and weight are understated.</t>
        </r>
      </text>
    </comment>
  </commentList>
</comments>
</file>

<file path=xl/sharedStrings.xml><?xml version="1.0" encoding="utf-8"?>
<sst xmlns="http://schemas.openxmlformats.org/spreadsheetml/2006/main" count="454" uniqueCount="190">
  <si>
    <t xml:space="preserve">Open Positions</t>
  </si>
  <si>
    <t xml:space="preserve">As of October 28, 2026  ·  Highlighted rows were sold in October</t>
  </si>
  <si>
    <r>
      <rPr>
        <b val="true"/>
        <sz val="9"/>
        <color rgb="FF6B7280"/>
        <rFont val="Arial"/>
        <family val="0"/>
        <charset val="1"/>
      </rPr>
      <t xml:space="preserve">Color key:   </t>
    </r>
    <r>
      <rPr>
        <b val="true"/>
        <sz val="9"/>
        <color rgb="FF1F3C9C"/>
        <rFont val="Arial"/>
        <family val="0"/>
        <charset val="1"/>
      </rPr>
      <t xml:space="preserve">Hard-coded input      </t>
    </r>
    <r>
      <rPr>
        <b val="true"/>
        <sz val="9"/>
        <color rgb="FF000000"/>
        <rFont val="Arial"/>
        <family val="0"/>
        <charset val="1"/>
      </rPr>
      <t xml:space="preserve">Formula      </t>
    </r>
    <r>
      <rPr>
        <b val="true"/>
        <sz val="9"/>
        <color rgb="FF008000"/>
        <rFont val="Arial"/>
        <family val="0"/>
        <charset val="1"/>
      </rPr>
      <t xml:space="preserve">Link to another tab      </t>
    </r>
    <r>
      <rPr>
        <b val="true"/>
        <sz val="9"/>
        <color rgb="FFC00000"/>
        <rFont val="Arial"/>
        <family val="0"/>
        <charset val="1"/>
      </rPr>
      <t xml:space="preserve">Link to external file      </t>
    </r>
  </si>
  <si>
    <t xml:space="preserve">Symbol</t>
  </si>
  <si>
    <t xml:space="preserve">Description</t>
  </si>
  <si>
    <t xml:space="preserve">Asset Class</t>
  </si>
  <si>
    <t xml:space="preserve">Sector</t>
  </si>
  <si>
    <t xml:space="preserve">Status</t>
  </si>
  <si>
    <t xml:space="preserve">Quantity</t>
  </si>
  <si>
    <t xml:space="preserve">Currency</t>
  </si>
  <si>
    <t xml:space="preserve">LastPrice</t>
  </si>
  <si>
    <t xml:space="preserve">PricePaid</t>
  </si>
  <si>
    <t xml:space="preserve">DayChange</t>
  </si>
  <si>
    <t xml:space="preserve">ProfitLoss</t>
  </si>
  <si>
    <t xml:space="preserve">MarketValue</t>
  </si>
  <si>
    <t xml:space="preserve">ProfitLoss %</t>
  </si>
  <si>
    <t xml:space="preserve">Investment</t>
  </si>
  <si>
    <t xml:space="preserve">Weight</t>
  </si>
  <si>
    <t xml:space="preserve">BTC</t>
  </si>
  <si>
    <t xml:space="preserve">Bitcoin</t>
  </si>
  <si>
    <t xml:space="preserve">Digital Assets</t>
  </si>
  <si>
    <t xml:space="preserve">Held</t>
  </si>
  <si>
    <t xml:space="preserve">USD</t>
  </si>
  <si>
    <t xml:space="preserve">QQQM</t>
  </si>
  <si>
    <t xml:space="preserve">Invesco Exchange-Traded Fund Trust II - Invesco NASDAQ 100 ETF</t>
  </si>
  <si>
    <t xml:space="preserve">Equity ETF</t>
  </si>
  <si>
    <t xml:space="preserve">US Broad Market</t>
  </si>
  <si>
    <t xml:space="preserve">IWM</t>
  </si>
  <si>
    <t xml:space="preserve">BlackRock Institutional Trust Company N.A. - iShares Russell 2000 ETF</t>
  </si>
  <si>
    <t xml:space="preserve">US Small Cap</t>
  </si>
  <si>
    <t xml:space="preserve">RSP</t>
  </si>
  <si>
    <t xml:space="preserve">Invesco Capital Management LLC - Invesco S&amp;P 500 Equal Weight ETF</t>
  </si>
  <si>
    <t xml:space="preserve">SCO</t>
  </si>
  <si>
    <t xml:space="preserve">ProShares Trust - ProShares UltraShort Bloomberg Crude Oil -2x Shares</t>
  </si>
  <si>
    <t xml:space="preserve">Leveraged / Inverse ETF</t>
  </si>
  <si>
    <t xml:space="preserve">Energy</t>
  </si>
  <si>
    <t xml:space="preserve">IYF</t>
  </si>
  <si>
    <t xml:space="preserve">BlackRock Institutional Trust Company N.A. - iShares U.S. Financials ETF</t>
  </si>
  <si>
    <t xml:space="preserve">Financials</t>
  </si>
  <si>
    <t xml:space="preserve">IYK</t>
  </si>
  <si>
    <t xml:space="preserve">BlackRock Institutional Trust Company N.A. - iShares U.S. Consumer Staples ETF</t>
  </si>
  <si>
    <t xml:space="preserve">Consumer Staples</t>
  </si>
  <si>
    <t xml:space="preserve">EUAD</t>
  </si>
  <si>
    <t xml:space="preserve">Select STOXX Europe Aerospace &amp; Defense ETF</t>
  </si>
  <si>
    <t xml:space="preserve">Industrials</t>
  </si>
  <si>
    <t xml:space="preserve">TLT</t>
  </si>
  <si>
    <t xml:space="preserve">BlackRock Institutional Trust Company N.A. - iShares 20+ Year Treasury Bond ETF</t>
  </si>
  <si>
    <t xml:space="preserve">Fixed Income</t>
  </si>
  <si>
    <t xml:space="preserve">SPY</t>
  </si>
  <si>
    <t xml:space="preserve">SSgA Active Trust - SPDR S&amp;P 500 ETF Trust</t>
  </si>
  <si>
    <t xml:space="preserve">TNA</t>
  </si>
  <si>
    <t xml:space="preserve">Direxion Shares ETF Trust - Direxion Daily Small Cap Bull 3X Shares</t>
  </si>
  <si>
    <t xml:space="preserve">Sold Oct-26</t>
  </si>
  <si>
    <t xml:space="preserve">INDA</t>
  </si>
  <si>
    <t xml:space="preserve">BlackRock Institutional Trust Company N.A. - iShares MSCI India ETF</t>
  </si>
  <si>
    <t xml:space="preserve">International / EM</t>
  </si>
  <si>
    <t xml:space="preserve">FXI</t>
  </si>
  <si>
    <t xml:space="preserve">BlackRock Institutional Trust Company N.A. - iShares China Large-Cap ETF</t>
  </si>
  <si>
    <t xml:space="preserve">IYJ</t>
  </si>
  <si>
    <t xml:space="preserve">BlackRock Institutional Trust Company N.A. - iShares U.S. Industrials ETF</t>
  </si>
  <si>
    <t xml:space="preserve">UNH</t>
  </si>
  <si>
    <t xml:space="preserve">Unitedhealth Group Inc</t>
  </si>
  <si>
    <t xml:space="preserve">Single Stock</t>
  </si>
  <si>
    <t xml:space="preserve">Health Care</t>
  </si>
  <si>
    <t xml:space="preserve">AGG</t>
  </si>
  <si>
    <t xml:space="preserve">BlackRock Institutional Trust Company N.A. - iShares Core U.S. Aggregate Bond ETF</t>
  </si>
  <si>
    <t xml:space="preserve">IYR</t>
  </si>
  <si>
    <t xml:space="preserve">BlackRock Institutional Trust Company N.A. - iShares U.S. Real Estate ETF</t>
  </si>
  <si>
    <t xml:space="preserve">Real Estate</t>
  </si>
  <si>
    <t xml:space="preserve">IJR</t>
  </si>
  <si>
    <t xml:space="preserve">BlackRock Institutional Trust Company N.A. - iShares Core S&amp;P Small-Cap ETF</t>
  </si>
  <si>
    <t xml:space="preserve">VNAM</t>
  </si>
  <si>
    <t xml:space="preserve">Global X Funds - Global X MSCI Vietnam ETF</t>
  </si>
  <si>
    <t xml:space="preserve">B-PFE-2.750-03062026</t>
  </si>
  <si>
    <t xml:space="preserve">Pfizer Inc - 2.750% - Jun 2026</t>
  </si>
  <si>
    <t xml:space="preserve">XOVR</t>
  </si>
  <si>
    <t xml:space="preserve">Entrepreneurshares Series Trust - ERShares Private-Public Crossover ETF</t>
  </si>
  <si>
    <t xml:space="preserve">Technology</t>
  </si>
  <si>
    <t xml:space="preserve">ASHR</t>
  </si>
  <si>
    <t xml:space="preserve">DBX ETF Trust - Xtrackers Harvest CSI 300 China A-Shares ETF</t>
  </si>
  <si>
    <t xml:space="preserve">B-T-3.000-15052045</t>
  </si>
  <si>
    <t xml:space="preserve">T-BOND 3.000% 15-May-2045</t>
  </si>
  <si>
    <t xml:space="preserve">MCHI</t>
  </si>
  <si>
    <t xml:space="preserve">BlackRock Institutional Trust Company N.A. - iShares MSCI China ETF</t>
  </si>
  <si>
    <t xml:space="preserve">RZG</t>
  </si>
  <si>
    <t xml:space="preserve">Invesco Capital Management LLC - Invesco S&amp;P SmallCap 600 Pure Growth ETF</t>
  </si>
  <si>
    <t xml:space="preserve">IAT</t>
  </si>
  <si>
    <t xml:space="preserve">BlackRock Institutional Trust Company N.A. - iShares U.S. Regional Banks ETF</t>
  </si>
  <si>
    <t xml:space="preserve">UBER</t>
  </si>
  <si>
    <t xml:space="preserve">Uber Technologies Inc</t>
  </si>
  <si>
    <t xml:space="preserve">BYD</t>
  </si>
  <si>
    <t xml:space="preserve">Boyd Gaming Corp.</t>
  </si>
  <si>
    <t xml:space="preserve">Consumer Discretionary</t>
  </si>
  <si>
    <t xml:space="preserve">ORCL</t>
  </si>
  <si>
    <t xml:space="preserve">Oracle Corp.</t>
  </si>
  <si>
    <t xml:space="preserve">NVDA</t>
  </si>
  <si>
    <t xml:space="preserve">NVIDIA Corp</t>
  </si>
  <si>
    <t xml:space="preserve">MSFT</t>
  </si>
  <si>
    <t xml:space="preserve">Microsoft Corporation</t>
  </si>
  <si>
    <t xml:space="preserve">SOL</t>
  </si>
  <si>
    <t xml:space="preserve">Solana</t>
  </si>
  <si>
    <t xml:space="preserve">ETH</t>
  </si>
  <si>
    <t xml:space="preserve">Ethereum</t>
  </si>
  <si>
    <t xml:space="preserve">EIDO</t>
  </si>
  <si>
    <t xml:space="preserve">BlackRock Institutional Trust Company N.A. - iShares MSCI Indonesia ETF</t>
  </si>
  <si>
    <t xml:space="preserve">ASTS</t>
  </si>
  <si>
    <t xml:space="preserve">AST SpaceMobile Inc - Ordinary Shares - Class A</t>
  </si>
  <si>
    <t xml:space="preserve">Communication Services</t>
  </si>
  <si>
    <t xml:space="preserve">MAIR</t>
  </si>
  <si>
    <t xml:space="preserve">MAIR HOLDINGS  INC</t>
  </si>
  <si>
    <t xml:space="preserve">Other</t>
  </si>
  <si>
    <t xml:space="preserve">GS</t>
  </si>
  <si>
    <t xml:space="preserve">Goldman Sachs Group, Inc.</t>
  </si>
  <si>
    <t xml:space="preserve">MTCH</t>
  </si>
  <si>
    <t xml:space="preserve">Match Group Inc. - Ordinary Shares - New</t>
  </si>
  <si>
    <t xml:space="preserve">TROW</t>
  </si>
  <si>
    <t xml:space="preserve">T. Rowe Price Group Inc.</t>
  </si>
  <si>
    <t xml:space="preserve">WFC</t>
  </si>
  <si>
    <t xml:space="preserve">Wells Fargo &amp; Co.</t>
  </si>
  <si>
    <t xml:space="preserve">MS</t>
  </si>
  <si>
    <t xml:space="preserve">Morgan Stanley</t>
  </si>
  <si>
    <t xml:space="preserve">IT</t>
  </si>
  <si>
    <t xml:space="preserve">Gartner, Inc.</t>
  </si>
  <si>
    <t xml:space="preserve">BAC</t>
  </si>
  <si>
    <t xml:space="preserve">Bank Of America Corp.</t>
  </si>
  <si>
    <t xml:space="preserve">COF</t>
  </si>
  <si>
    <t xml:space="preserve">Capital One Financial Corp.</t>
  </si>
  <si>
    <t xml:space="preserve">C</t>
  </si>
  <si>
    <t xml:space="preserve">Citigroup Inc</t>
  </si>
  <si>
    <t xml:space="preserve">STT</t>
  </si>
  <si>
    <t xml:space="preserve">State Street Corp.</t>
  </si>
  <si>
    <t xml:space="preserve">AMP</t>
  </si>
  <si>
    <t xml:space="preserve">Ameriprise Financial Inc</t>
  </si>
  <si>
    <t xml:space="preserve">NTRS</t>
  </si>
  <si>
    <t xml:space="preserve">Northern Trust Corp.</t>
  </si>
  <si>
    <t xml:space="preserve">ACN</t>
  </si>
  <si>
    <t xml:space="preserve">Accenture plc - Ordinary Shares - Class A</t>
  </si>
  <si>
    <t xml:space="preserve">IVZ</t>
  </si>
  <si>
    <t xml:space="preserve">Invesco Ltd</t>
  </si>
  <si>
    <t xml:space="preserve">SYF</t>
  </si>
  <si>
    <t xml:space="preserve">Synchrony Financial</t>
  </si>
  <si>
    <t xml:space="preserve">EBAY</t>
  </si>
  <si>
    <t xml:space="preserve">EBay Inc.</t>
  </si>
  <si>
    <t xml:space="preserve">WFC2815L72.5</t>
  </si>
  <si>
    <t xml:space="preserve">Options</t>
  </si>
  <si>
    <t xml:space="preserve">PFE2618L27</t>
  </si>
  <si>
    <t xml:space="preserve">Pfizer Inc.</t>
  </si>
  <si>
    <t xml:space="preserve">SOXX</t>
  </si>
  <si>
    <t xml:space="preserve">BlackRock Institutional Trust Company N.A. - iShares Semiconductor ETF</t>
  </si>
  <si>
    <t xml:space="preserve">Total</t>
  </si>
  <si>
    <t xml:space="preserve">October Rebalance</t>
  </si>
  <si>
    <t xml:space="preserve">Positions sold this month and where the $180K went</t>
  </si>
  <si>
    <t xml:space="preserve">1 · Sold this month (highlighted rows)</t>
  </si>
  <si>
    <t xml:space="preserve">Proceeds</t>
  </si>
  <si>
    <t xml:space="preserve">Cost Basis</t>
  </si>
  <si>
    <t xml:space="preserve">Realized P/L</t>
  </si>
  <si>
    <t xml:space="preserve">Total sold</t>
  </si>
  <si>
    <t xml:space="preserve">SOXX was a short (−40 sh), so closing it uses cash: its proceeds show as negative.</t>
  </si>
  <si>
    <t xml:space="preserve">2 · Reinvested</t>
  </si>
  <si>
    <t xml:space="preserve">Allocation</t>
  </si>
  <si>
    <t xml:space="preserve">Amount</t>
  </si>
  <si>
    <t xml:space="preserve">% of Total</t>
  </si>
  <si>
    <t xml:space="preserve">SpaceX</t>
  </si>
  <si>
    <t xml:space="preserve">Private Markets</t>
  </si>
  <si>
    <t xml:space="preserve">Allocated</t>
  </si>
  <si>
    <t xml:space="preserve">Anthropic</t>
  </si>
  <si>
    <t xml:space="preserve">Planned</t>
  </si>
  <si>
    <t xml:space="preserve">Materials</t>
  </si>
  <si>
    <t xml:space="preserve">Regional Banks</t>
  </si>
  <si>
    <t xml:space="preserve">Biotech</t>
  </si>
  <si>
    <t xml:space="preserve">Total reinvested</t>
  </si>
  <si>
    <t xml:space="preserve">Amounts as provided by you. Anthropic is marked Planned ("going to allocate"); SpaceX and Anthropic classed as Private Markets.</t>
  </si>
  <si>
    <t xml:space="preserve">3 · Sources &amp; uses</t>
  </si>
  <si>
    <t xml:space="preserve">Item</t>
  </si>
  <si>
    <t xml:space="preserve">Target reallocation</t>
  </si>
  <si>
    <t xml:space="preserve">Check: reinvested vs target</t>
  </si>
  <si>
    <t xml:space="preserve">Funded by: proceeds from October sales</t>
  </si>
  <si>
    <t xml:space="preserve">Funded by: additional cash</t>
  </si>
  <si>
    <t xml:space="preserve">Portfolio Allocation</t>
  </si>
  <si>
    <t xml:space="preserve">Market value weights, today vs after the October rebalance</t>
  </si>
  <si>
    <t xml:space="preserve">1 · Asset Class</t>
  </si>
  <si>
    <t xml:space="preserve">Current MV</t>
  </si>
  <si>
    <t xml:space="preserve">Current %</t>
  </si>
  <si>
    <t xml:space="preserve">Sold</t>
  </si>
  <si>
    <t xml:space="preserve">Added</t>
  </si>
  <si>
    <t xml:space="preserve">Pro Forma MV</t>
  </si>
  <si>
    <t xml:space="preserve">Pro Forma %</t>
  </si>
  <si>
    <t xml:space="preserve">Change</t>
  </si>
  <si>
    <t xml:space="preserve">2 · Sector</t>
  </si>
  <si>
    <t xml:space="preserve">Current MV = MarketValue from the positions tab (SOXX short counted at gross value). Sold = highlighted rows. Added = Rebalance tab.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</si>
</sst>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_);\(#,##0\);\-_)"/>
    <numFmt numFmtId="166" formatCode="_(\$* #,##0.00_);_(\$* \(#,##0.00\);_(\$* \-??_);_(@_)"/>
    <numFmt numFmtId="167" formatCode="0.00\%;\(0.00&quot;%)&quot;;\-"/>
    <numFmt numFmtId="168" formatCode="0.0%;\(0.0%\);\-"/>
    <numFmt numFmtId="169" formatCode="#,##0.00_);\(#,##0.00\);\-??_)"/>
    <numFmt numFmtId="170" formatCode="_(\$* #,##0_);_(\$* \(#,##0\);_(\$* \-??_);_(@_)"/>
    <numFmt numFmtId="171" formatCode="\$#,##0;&quot;($&quot;#,##0\)"/>
    <numFmt numFmtId="172" formatCode="\+0.0%;\-0.0%;\-"/>
    <numFmt numFmtId="173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9"/>
      <color rgb="FF1F3C9C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sz val="10"/>
      <color rgb="FF1F3C9C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2"/>
      <color rgb="FF1F2A44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1F2937"/>
      </patternFill>
    </fill>
    <fill>
      <patternFill patternType="solid">
        <fgColor rgb="FFF4F6FA"/>
        <bgColor rgb="FFFFFFFF"/>
      </patternFill>
    </fill>
    <fill>
      <patternFill patternType="solid">
        <fgColor rgb="FFFFF2B3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1E0"/>
      </bottom>
      <diagonal/>
    </border>
    <border diagonalUp="false" diagonalDown="false">
      <left/>
      <right/>
      <top style="thin">
        <color rgb="FF1F2A44"/>
      </top>
      <bottom style="double">
        <color rgb="FF1F2A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A44"/>
          <bgColor rgb="FF000000"/>
        </patternFill>
      </fill>
    </dxf>
    <dxf>
      <fill>
        <patternFill patternType="solid">
          <fgColor rgb="FFF4F6FA"/>
          <bgColor rgb="FF000000"/>
        </patternFill>
      </fill>
    </dxf>
    <dxf>
      <fill>
        <patternFill patternType="solid">
          <fgColor rgb="FFFFF2B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C9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8C4DA"/>
      <rgbColor rgb="FF878787"/>
      <rgbColor rgb="FF8FB0E8"/>
      <rgbColor rgb="FF993366"/>
      <rgbColor rgb="FFFFF2B3"/>
      <rgbColor rgb="FFF4F6FA"/>
      <rgbColor rgb="FF660066"/>
      <rgbColor rgb="FFFF8080"/>
      <rgbColor rgb="FF0066CC"/>
      <rgbColor rgb="FFC9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C78C8"/>
      <rgbColor rgb="FF33CCCC"/>
      <rgbColor rgb="FFC9A227"/>
      <rgbColor rgb="FFFFCC00"/>
      <rgbColor rgb="FFD9822B"/>
      <rgbColor rgb="FFFF6600"/>
      <rgbColor rgb="FF6B7280"/>
      <rgbColor rgb="FF7A869A"/>
      <rgbColor rgb="FF1F2A44"/>
      <rgbColor rgb="FF2E8B57"/>
      <rgbColor rgb="FF003300"/>
      <rgbColor rgb="FF333300"/>
      <rgbColor rgb="FF993300"/>
      <rgbColor rgb="FF993366"/>
      <rgbColor rgb="FF1F3C9C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Where the $180K went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'Rebalance Oct-26'!E14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1f3c9c"/>
            </a:solidFill>
            <a:ln w="9360">
              <a:solidFill>
                <a:srgbClr val="1f3c9c"/>
              </a:solidFill>
              <a:round/>
            </a:ln>
          </c:spPr>
          <c:invertIfNegative val="0"/>
          <c:dLbls>
            <c:numFmt formatCode="\$#,##0;&quot;($&quot;#,##0\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'Rebalance Oct-26'!$A$15:$A$21</c:f>
              <c:strCache>
                <c:ptCount val="7"/>
                <c:pt idx="0">
                  <c:v>SpaceX</c:v>
                </c:pt>
                <c:pt idx="1">
                  <c:v>Anthropic</c:v>
                </c:pt>
                <c:pt idx="2">
                  <c:v>Industrials</c:v>
                </c:pt>
                <c:pt idx="3">
                  <c:v>Real Estate</c:v>
                </c:pt>
                <c:pt idx="4">
                  <c:v>Materials</c:v>
                </c:pt>
                <c:pt idx="5">
                  <c:v>Regional Banks</c:v>
                </c:pt>
                <c:pt idx="6">
                  <c:v>Biotech</c:v>
                </c:pt>
              </c:strCache>
            </c:strRef>
          </c:cat>
          <c:val>
            <c:numRef>
              <c:f>'Rebalance Oct-26'!$E$15:$E$21</c:f>
              <c:numCache>
                <c:formatCode>_(\$* #,##0_);_(\$* \(#,##0\);_(\$* \-??_);_(@_)</c:formatCode>
                <c:ptCount val="7"/>
                <c:pt idx="0">
                  <c:v>30000</c:v>
                </c:pt>
                <c:pt idx="1">
                  <c:v>30000</c:v>
                </c:pt>
                <c:pt idx="2">
                  <c:v>30000</c:v>
                </c:pt>
                <c:pt idx="3">
                  <c:v>15000</c:v>
                </c:pt>
                <c:pt idx="4">
                  <c:v>30000</c:v>
                </c:pt>
                <c:pt idx="5">
                  <c:v>20000</c:v>
                </c:pt>
                <c:pt idx="6">
                  <c:v>25000</c:v>
                </c:pt>
              </c:numCache>
            </c:numRef>
          </c:val>
        </c:ser>
        <c:gapWidth val="60"/>
        <c:overlap val="0"/>
        <c:axId val="55667067"/>
        <c:axId val="37152582"/>
      </c:barChart>
      <c:catAx>
        <c:axId val="5566706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152582"/>
        <c:crosses val="autoZero"/>
        <c:auto val="1"/>
        <c:lblAlgn val="ctr"/>
        <c:lblOffset val="100"/>
        <c:noMultiLvlLbl val="0"/>
      </c:catAx>
      <c:valAx>
        <c:axId val="37152582"/>
        <c:scaling>
          <c:orientation val="minMax"/>
        </c:scaling>
        <c:delete val="1"/>
        <c:axPos val="l"/>
        <c:numFmt formatCode="_(\$* #,##0_);_(\$* \(#,##0\);_(\$* \-??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67067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What was sold (proceeds)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'Rebalance Oct-26'!E6</c:f>
              <c:strCache>
                <c:ptCount val="1"/>
                <c:pt idx="0">
                  <c:v>Proceeds</c:v>
                </c:pt>
              </c:strCache>
            </c:strRef>
          </c:tx>
          <c:spPr>
            <a:solidFill>
              <a:srgbClr val="c9a227"/>
            </a:solidFill>
            <a:ln w="9360">
              <a:solidFill>
                <a:srgbClr val="c9a227"/>
              </a:solidFill>
              <a:round/>
            </a:ln>
          </c:spPr>
          <c:invertIfNegative val="0"/>
          <c:dLbls>
            <c:numFmt formatCode="\$#,##0;&quot;($&quot;#,##0\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'Rebalance Oct-26'!$A$7:$A$9</c:f>
              <c:strCache>
                <c:ptCount val="3"/>
                <c:pt idx="0">
                  <c:v>TNA</c:v>
                </c:pt>
                <c:pt idx="1">
                  <c:v>UNH</c:v>
                </c:pt>
                <c:pt idx="2">
                  <c:v>SOXX</c:v>
                </c:pt>
              </c:strCache>
            </c:strRef>
          </c:cat>
          <c:val>
            <c:numRef>
              <c:f>'Rebalance Oct-26'!$E$7:$E$9</c:f>
              <c:numCache>
                <c:formatCode>_(\$* #,##0.00_);_(\$* \(#,##0.00\);_(\$* \-??_);_(@_)</c:formatCode>
                <c:ptCount val="3"/>
                <c:pt idx="0">
                  <c:v>58340</c:v>
                </c:pt>
                <c:pt idx="1">
                  <c:v>41039</c:v>
                </c:pt>
                <c:pt idx="2">
                  <c:v>-20442.4</c:v>
                </c:pt>
              </c:numCache>
            </c:numRef>
          </c:val>
        </c:ser>
        <c:gapWidth val="60"/>
        <c:overlap val="0"/>
        <c:axId val="64473464"/>
        <c:axId val="75250196"/>
      </c:barChart>
      <c:catAx>
        <c:axId val="6447346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50196"/>
        <c:crosses val="autoZero"/>
        <c:auto val="1"/>
        <c:lblAlgn val="ctr"/>
        <c:lblOffset val="100"/>
        <c:noMultiLvlLbl val="0"/>
      </c:catAx>
      <c:valAx>
        <c:axId val="75250196"/>
        <c:scaling>
          <c:orientation val="minMax"/>
        </c:scaling>
        <c:delete val="1"/>
        <c:axPos val="l"/>
        <c:numFmt formatCode="_(\$* #,##0.00_);_(\$* \(#,##0.00\);_(\$* \-??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73464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Asset class · after rebalance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Allocation!G6</c:f>
              <c:strCache>
                <c:ptCount val="1"/>
                <c:pt idx="0">
                  <c:v>Pro Forma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3c9c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4c78c8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8fb0e8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c9a227"/>
              </a:solidFill>
              <a:ln w="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d9822b"/>
              </a:solidFill>
              <a:ln w="0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7a869a"/>
              </a:solidFill>
              <a:ln w="0"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2e8b57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Allocation!$A$7:$A$13</c:f>
              <c:strCache>
                <c:ptCount val="7"/>
                <c:pt idx="0">
                  <c:v>Equity ETF</c:v>
                </c:pt>
                <c:pt idx="1">
                  <c:v>Single Stock</c:v>
                </c:pt>
                <c:pt idx="2">
                  <c:v>Fixed Income</c:v>
                </c:pt>
                <c:pt idx="3">
                  <c:v>Digital Assets</c:v>
                </c:pt>
                <c:pt idx="4">
                  <c:v>Leveraged / Inverse ETF</c:v>
                </c:pt>
                <c:pt idx="5">
                  <c:v>Options</c:v>
                </c:pt>
                <c:pt idx="6">
                  <c:v>Private Markets</c:v>
                </c:pt>
              </c:strCache>
            </c:strRef>
          </c:cat>
          <c:val>
            <c:numRef>
              <c:f>Allocation!$G$7:$G$13</c:f>
              <c:numCache>
                <c:formatCode>0.0%;\(0.0%\);\-</c:formatCode>
                <c:ptCount val="7"/>
                <c:pt idx="0">
                  <c:v>0.682492246619205</c:v>
                </c:pt>
                <c:pt idx="1">
                  <c:v>0.0478860059634058</c:v>
                </c:pt>
                <c:pt idx="2">
                  <c:v>0.0693058268923998</c:v>
                </c:pt>
                <c:pt idx="3">
                  <c:v>0.114757144149924</c:v>
                </c:pt>
                <c:pt idx="4">
                  <c:v>0.0271527637703075</c:v>
                </c:pt>
                <c:pt idx="5">
                  <c:v>0.0183034691901507</c:v>
                </c:pt>
                <c:pt idx="6">
                  <c:v>0.040102543414608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Sector weights · current vs after rebalance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Allocation!C18</c:f>
              <c:strCache>
                <c:ptCount val="1"/>
                <c:pt idx="0">
                  <c:v>Current %</c:v>
                </c:pt>
              </c:strCache>
            </c:strRef>
          </c:tx>
          <c:spPr>
            <a:solidFill>
              <a:srgbClr val="b8c4da"/>
            </a:solidFill>
            <a:ln w="9360">
              <a:solidFill>
                <a:srgbClr val="b8c4d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Allocation!$A$19:$A$34</c:f>
              <c:strCache>
                <c:ptCount val="16"/>
                <c:pt idx="0">
                  <c:v>US Broad Market</c:v>
                </c:pt>
                <c:pt idx="1">
                  <c:v>US Small Cap</c:v>
                </c:pt>
                <c:pt idx="2">
                  <c:v>International / EM</c:v>
                </c:pt>
                <c:pt idx="3">
                  <c:v>Technology</c:v>
                </c:pt>
                <c:pt idx="4">
                  <c:v>Financials</c:v>
                </c:pt>
                <c:pt idx="5">
                  <c:v>Industrials</c:v>
                </c:pt>
                <c:pt idx="6">
                  <c:v>Health Care</c:v>
                </c:pt>
                <c:pt idx="7">
                  <c:v>Consumer Staples</c:v>
                </c:pt>
                <c:pt idx="8">
                  <c:v>Consumer Discretionary</c:v>
                </c:pt>
                <c:pt idx="9">
                  <c:v>Communication Services</c:v>
                </c:pt>
                <c:pt idx="10">
                  <c:v>Real Estate</c:v>
                </c:pt>
                <c:pt idx="11">
                  <c:v>Materials</c:v>
                </c:pt>
                <c:pt idx="12">
                  <c:v>Energy</c:v>
                </c:pt>
                <c:pt idx="13">
                  <c:v>Fixed Income</c:v>
                </c:pt>
                <c:pt idx="14">
                  <c:v>Digital Assets</c:v>
                </c:pt>
                <c:pt idx="15">
                  <c:v>Other</c:v>
                </c:pt>
              </c:strCache>
            </c:strRef>
          </c:cat>
          <c:val>
            <c:numRef>
              <c:f>Allocation!$C$19:$C$34</c:f>
              <c:numCache>
                <c:formatCode>0.0%;\(0.0%\);\-</c:formatCode>
                <c:ptCount val="16"/>
                <c:pt idx="0">
                  <c:v>0.219336770601965</c:v>
                </c:pt>
                <c:pt idx="1">
                  <c:v>0.151683555438299</c:v>
                </c:pt>
                <c:pt idx="2">
                  <c:v>0.081835764339441</c:v>
                </c:pt>
                <c:pt idx="3">
                  <c:v>0.0442291752332538</c:v>
                </c:pt>
                <c:pt idx="4">
                  <c:v>0.104083316357754</c:v>
                </c:pt>
                <c:pt idx="5">
                  <c:v>0.0637400429122765</c:v>
                </c:pt>
                <c:pt idx="6">
                  <c:v>0.0336451782180637</c:v>
                </c:pt>
                <c:pt idx="7">
                  <c:v>0.0532317221299993</c:v>
                </c:pt>
                <c:pt idx="8">
                  <c:v>0.00664672285507577</c:v>
                </c:pt>
                <c:pt idx="9">
                  <c:v>0.0032865226245463</c:v>
                </c:pt>
                <c:pt idx="10">
                  <c:v>0.0170562265079671</c:v>
                </c:pt>
                <c:pt idx="11">
                  <c:v>0</c:v>
                </c:pt>
                <c:pt idx="12">
                  <c:v>0.0282906686490218</c:v>
                </c:pt>
                <c:pt idx="13">
                  <c:v>0.072210261933021</c:v>
                </c:pt>
                <c:pt idx="14">
                  <c:v>0.119566330989987</c:v>
                </c:pt>
                <c:pt idx="15">
                  <c:v>0.0011577412093292</c:v>
                </c:pt>
              </c:numCache>
            </c:numRef>
          </c:val>
        </c:ser>
        <c:ser>
          <c:idx val="1"/>
          <c:order val="1"/>
          <c:tx>
            <c:strRef>
              <c:f>Allocation!G18</c:f>
              <c:strCache>
                <c:ptCount val="1"/>
                <c:pt idx="0">
                  <c:v>Pro Forma %</c:v>
                </c:pt>
              </c:strCache>
            </c:strRef>
          </c:tx>
          <c:spPr>
            <a:solidFill>
              <a:srgbClr val="1f3c9c"/>
            </a:solidFill>
            <a:ln w="9360">
              <a:solidFill>
                <a:srgbClr val="1f3c9c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Allocation!$A$19:$A$34</c:f>
              <c:strCache>
                <c:ptCount val="16"/>
                <c:pt idx="0">
                  <c:v>US Broad Market</c:v>
                </c:pt>
                <c:pt idx="1">
                  <c:v>US Small Cap</c:v>
                </c:pt>
                <c:pt idx="2">
                  <c:v>International / EM</c:v>
                </c:pt>
                <c:pt idx="3">
                  <c:v>Technology</c:v>
                </c:pt>
                <c:pt idx="4">
                  <c:v>Financials</c:v>
                </c:pt>
                <c:pt idx="5">
                  <c:v>Industrials</c:v>
                </c:pt>
                <c:pt idx="6">
                  <c:v>Health Care</c:v>
                </c:pt>
                <c:pt idx="7">
                  <c:v>Consumer Staples</c:v>
                </c:pt>
                <c:pt idx="8">
                  <c:v>Consumer Discretionary</c:v>
                </c:pt>
                <c:pt idx="9">
                  <c:v>Communication Services</c:v>
                </c:pt>
                <c:pt idx="10">
                  <c:v>Real Estate</c:v>
                </c:pt>
                <c:pt idx="11">
                  <c:v>Materials</c:v>
                </c:pt>
                <c:pt idx="12">
                  <c:v>Energy</c:v>
                </c:pt>
                <c:pt idx="13">
                  <c:v>Fixed Income</c:v>
                </c:pt>
                <c:pt idx="14">
                  <c:v>Digital Assets</c:v>
                </c:pt>
                <c:pt idx="15">
                  <c:v>Other</c:v>
                </c:pt>
              </c:strCache>
            </c:strRef>
          </c:cat>
          <c:val>
            <c:numRef>
              <c:f>Allocation!$G$19:$G$34</c:f>
              <c:numCache>
                <c:formatCode>0.0%;\(0.0%\);\-</c:formatCode>
                <c:ptCount val="16"/>
                <c:pt idx="0">
                  <c:v>0.210514625588505</c:v>
                </c:pt>
                <c:pt idx="1">
                  <c:v>0.106589512602728</c:v>
                </c:pt>
                <c:pt idx="2">
                  <c:v>0.0785441731561276</c:v>
                </c:pt>
                <c:pt idx="3">
                  <c:v>0.0488382609080574</c:v>
                </c:pt>
                <c:pt idx="4">
                  <c:v>0.113264400492645</c:v>
                </c:pt>
                <c:pt idx="5">
                  <c:v>0.101278839718448</c:v>
                </c:pt>
                <c:pt idx="6">
                  <c:v>0.0215718264784412</c:v>
                </c:pt>
                <c:pt idx="7">
                  <c:v>0.0510906403102105</c:v>
                </c:pt>
                <c:pt idx="8">
                  <c:v>0.00637937893125112</c:v>
                </c:pt>
                <c:pt idx="9">
                  <c:v>0.00315433238984835</c:v>
                </c:pt>
                <c:pt idx="10">
                  <c:v>0.0263958282633568</c:v>
                </c:pt>
                <c:pt idx="11">
                  <c:v>0.020051271707304</c:v>
                </c:pt>
                <c:pt idx="12">
                  <c:v>0.0271527637703075</c:v>
                </c:pt>
                <c:pt idx="13">
                  <c:v>0.0693058268923998</c:v>
                </c:pt>
                <c:pt idx="14">
                  <c:v>0.114757144149924</c:v>
                </c:pt>
                <c:pt idx="15">
                  <c:v>0.00111117464044643</c:v>
                </c:pt>
              </c:numCache>
            </c:numRef>
          </c:val>
        </c:ser>
        <c:gapWidth val="40"/>
        <c:overlap val="0"/>
        <c:axId val="98735242"/>
        <c:axId val="62463483"/>
      </c:barChart>
      <c:catAx>
        <c:axId val="9873524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63483"/>
        <c:crosses val="autoZero"/>
        <c:auto val="1"/>
        <c:lblAlgn val="ctr"/>
        <c:lblOffset val="100"/>
        <c:noMultiLvlLbl val="0"/>
      </c:catAx>
      <c:valAx>
        <c:axId val="6246348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7352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0</xdr:rowOff>
    </xdr:from>
    <xdr:to>
      <xdr:col>16</xdr:col>
      <xdr:colOff>507600</xdr:colOff>
      <xdr:row>17</xdr:row>
      <xdr:rowOff>21960</xdr:rowOff>
    </xdr:to>
    <xdr:graphicFrame>
      <xdr:nvGraphicFramePr>
        <xdr:cNvPr id="0" name="Chart 1"/>
        <xdr:cNvGraphicFramePr/>
      </xdr:nvGraphicFramePr>
      <xdr:xfrm>
        <a:off x="10831680" y="8762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21</xdr:row>
      <xdr:rowOff>0</xdr:rowOff>
    </xdr:from>
    <xdr:to>
      <xdr:col>16</xdr:col>
      <xdr:colOff>507600</xdr:colOff>
      <xdr:row>31</xdr:row>
      <xdr:rowOff>64080</xdr:rowOff>
    </xdr:to>
    <xdr:graphicFrame>
      <xdr:nvGraphicFramePr>
        <xdr:cNvPr id="1" name="Chart 2"/>
        <xdr:cNvGraphicFramePr/>
      </xdr:nvGraphicFramePr>
      <xdr:xfrm>
        <a:off x="10831680" y="4495680"/>
        <a:ext cx="539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0</xdr:rowOff>
    </xdr:from>
    <xdr:to>
      <xdr:col>17</xdr:col>
      <xdr:colOff>507600</xdr:colOff>
      <xdr:row>19</xdr:row>
      <xdr:rowOff>1080</xdr:rowOff>
    </xdr:to>
    <xdr:graphicFrame>
      <xdr:nvGraphicFramePr>
        <xdr:cNvPr id="2" name="Chart 1"/>
        <xdr:cNvGraphicFramePr/>
      </xdr:nvGraphicFramePr>
      <xdr:xfrm>
        <a:off x="8576280" y="8762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23</xdr:row>
      <xdr:rowOff>0</xdr:rowOff>
    </xdr:from>
    <xdr:to>
      <xdr:col>17</xdr:col>
      <xdr:colOff>507600</xdr:colOff>
      <xdr:row>45</xdr:row>
      <xdr:rowOff>128880</xdr:rowOff>
    </xdr:to>
    <xdr:graphicFrame>
      <xdr:nvGraphicFramePr>
        <xdr:cNvPr id="3" name="Chart 2"/>
        <xdr:cNvGraphicFramePr/>
      </xdr:nvGraphicFramePr>
      <xdr:xfrm>
        <a:off x="8576280" y="4876920"/>
        <a:ext cx="53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true"/>
  </sheetPr>
  <dimension ref="A1:O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6"/>
    <col collapsed="false" customWidth="true" hidden="false" outlineLevel="0" max="4" min="3" style="0" width="2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9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</row>
    <row r="6" customFormat="false" ht="16.5" hidden="false" customHeight="true" outlineLevel="0" collapsed="false">
      <c r="A6" s="5" t="s">
        <v>18</v>
      </c>
      <c r="B6" s="6" t="s">
        <v>19</v>
      </c>
      <c r="C6" s="7" t="s">
        <v>20</v>
      </c>
      <c r="D6" s="7" t="s">
        <v>20</v>
      </c>
      <c r="E6" s="7" t="s">
        <v>21</v>
      </c>
      <c r="F6" s="8" t="n">
        <v>2</v>
      </c>
      <c r="G6" s="6" t="s">
        <v>22</v>
      </c>
      <c r="H6" s="9" t="n">
        <v>81423.94</v>
      </c>
      <c r="I6" s="9" t="n">
        <v>79635.47</v>
      </c>
      <c r="J6" s="9" t="n">
        <v>0</v>
      </c>
      <c r="K6" s="9" t="n">
        <v>3576.94</v>
      </c>
      <c r="L6" s="9" t="n">
        <v>162847.88</v>
      </c>
      <c r="M6" s="10" t="n">
        <v>2.25</v>
      </c>
      <c r="N6" s="11" t="n">
        <f aca="false">I6*F6</f>
        <v>159270.94</v>
      </c>
      <c r="O6" s="12" t="n">
        <f aca="false">N6/$N$61</f>
        <v>0.125483763446533</v>
      </c>
    </row>
    <row r="7" customFormat="false" ht="16.5" hidden="false" customHeight="true" outlineLevel="0" collapsed="false">
      <c r="A7" s="13" t="s">
        <v>23</v>
      </c>
      <c r="B7" s="14" t="s">
        <v>24</v>
      </c>
      <c r="C7" s="15" t="s">
        <v>25</v>
      </c>
      <c r="D7" s="15" t="s">
        <v>26</v>
      </c>
      <c r="E7" s="15" t="s">
        <v>21</v>
      </c>
      <c r="F7" s="16" t="n">
        <v>500</v>
      </c>
      <c r="G7" s="14" t="s">
        <v>22</v>
      </c>
      <c r="H7" s="17" t="n">
        <v>296.96</v>
      </c>
      <c r="I7" s="17" t="n">
        <v>247.09</v>
      </c>
      <c r="J7" s="17" t="n">
        <v>3.7</v>
      </c>
      <c r="K7" s="17" t="n">
        <v>24935</v>
      </c>
      <c r="L7" s="17" t="n">
        <v>148480</v>
      </c>
      <c r="M7" s="18" t="n">
        <v>20.18</v>
      </c>
      <c r="N7" s="19" t="n">
        <f aca="false">I7*F7</f>
        <v>123545</v>
      </c>
      <c r="O7" s="20" t="n">
        <f aca="false">N7/$N$61</f>
        <v>0.0973365985973459</v>
      </c>
    </row>
    <row r="8" customFormat="false" ht="16.5" hidden="false" customHeight="true" outlineLevel="0" collapsed="false">
      <c r="A8" s="5" t="s">
        <v>27</v>
      </c>
      <c r="B8" s="6" t="s">
        <v>28</v>
      </c>
      <c r="C8" s="7" t="s">
        <v>25</v>
      </c>
      <c r="D8" s="7" t="s">
        <v>29</v>
      </c>
      <c r="E8" s="7" t="s">
        <v>21</v>
      </c>
      <c r="F8" s="8" t="n">
        <v>425</v>
      </c>
      <c r="G8" s="6" t="s">
        <v>22</v>
      </c>
      <c r="H8" s="21" t="n">
        <v>280.18</v>
      </c>
      <c r="I8" s="21" t="n">
        <v>208.21</v>
      </c>
      <c r="J8" s="21" t="n">
        <v>3.19</v>
      </c>
      <c r="K8" s="21" t="n">
        <v>30587.25</v>
      </c>
      <c r="L8" s="21" t="n">
        <v>119076.5</v>
      </c>
      <c r="M8" s="10" t="n">
        <v>34.57</v>
      </c>
      <c r="N8" s="22" t="n">
        <f aca="false">I8*F8</f>
        <v>88489.25</v>
      </c>
      <c r="O8" s="12" t="n">
        <f aca="false">N8/$N$61</f>
        <v>0.06971745200073</v>
      </c>
    </row>
    <row r="9" customFormat="false" ht="16.5" hidden="false" customHeight="true" outlineLevel="0" collapsed="false">
      <c r="A9" s="13" t="s">
        <v>30</v>
      </c>
      <c r="B9" s="14" t="s">
        <v>31</v>
      </c>
      <c r="C9" s="15" t="s">
        <v>25</v>
      </c>
      <c r="D9" s="15" t="s">
        <v>26</v>
      </c>
      <c r="E9" s="15" t="s">
        <v>21</v>
      </c>
      <c r="F9" s="16" t="n">
        <v>500</v>
      </c>
      <c r="G9" s="14" t="s">
        <v>22</v>
      </c>
      <c r="H9" s="17" t="n">
        <v>217.52</v>
      </c>
      <c r="I9" s="17" t="n">
        <v>172.41</v>
      </c>
      <c r="J9" s="17" t="n">
        <v>0.23</v>
      </c>
      <c r="K9" s="17" t="n">
        <v>22555</v>
      </c>
      <c r="L9" s="17" t="n">
        <v>108760</v>
      </c>
      <c r="M9" s="18" t="n">
        <v>26.16</v>
      </c>
      <c r="N9" s="19" t="n">
        <f aca="false">I9*F9</f>
        <v>86205</v>
      </c>
      <c r="O9" s="20" t="n">
        <f aca="false">N9/$N$61</f>
        <v>0.0679177747548197</v>
      </c>
    </row>
    <row r="10" customFormat="false" ht="16.5" hidden="false" customHeight="true" outlineLevel="0" collapsed="false">
      <c r="A10" s="5" t="s">
        <v>32</v>
      </c>
      <c r="B10" s="6" t="s">
        <v>33</v>
      </c>
      <c r="C10" s="7" t="s">
        <v>34</v>
      </c>
      <c r="D10" s="7" t="s">
        <v>35</v>
      </c>
      <c r="E10" s="7" t="s">
        <v>21</v>
      </c>
      <c r="F10" s="8" t="n">
        <v>2500</v>
      </c>
      <c r="G10" s="6" t="s">
        <v>22</v>
      </c>
      <c r="H10" s="21" t="n">
        <v>16.25</v>
      </c>
      <c r="I10" s="21" t="n">
        <v>32.16</v>
      </c>
      <c r="J10" s="21" t="n">
        <v>0.13</v>
      </c>
      <c r="K10" s="21" t="n">
        <v>-39775</v>
      </c>
      <c r="L10" s="21" t="n">
        <v>40625</v>
      </c>
      <c r="M10" s="10" t="n">
        <v>-49.47</v>
      </c>
      <c r="N10" s="22" t="n">
        <f aca="false">I10*F10</f>
        <v>80400</v>
      </c>
      <c r="O10" s="12" t="n">
        <f aca="false">N10/$N$61</f>
        <v>0.0633442270203295</v>
      </c>
    </row>
    <row r="11" customFormat="false" ht="16.5" hidden="false" customHeight="true" outlineLevel="0" collapsed="false">
      <c r="A11" s="13" t="s">
        <v>36</v>
      </c>
      <c r="B11" s="14" t="s">
        <v>37</v>
      </c>
      <c r="C11" s="15" t="s">
        <v>25</v>
      </c>
      <c r="D11" s="15" t="s">
        <v>38</v>
      </c>
      <c r="E11" s="15" t="s">
        <v>21</v>
      </c>
      <c r="F11" s="16" t="n">
        <v>690</v>
      </c>
      <c r="G11" s="14" t="s">
        <v>22</v>
      </c>
      <c r="H11" s="17" t="n">
        <v>130.25</v>
      </c>
      <c r="I11" s="17" t="n">
        <v>113.408985507246</v>
      </c>
      <c r="J11" s="17" t="n">
        <v>-0.18</v>
      </c>
      <c r="K11" s="17" t="n">
        <v>11620.3</v>
      </c>
      <c r="L11" s="17" t="n">
        <v>89872.5</v>
      </c>
      <c r="M11" s="18" t="n">
        <v>14.85</v>
      </c>
      <c r="N11" s="19" t="n">
        <f aca="false">I11*F11</f>
        <v>78252.1999999997</v>
      </c>
      <c r="O11" s="20" t="n">
        <f aca="false">N11/$N$61</f>
        <v>0.0616520537517439</v>
      </c>
    </row>
    <row r="12" customFormat="false" ht="16.5" hidden="false" customHeight="true" outlineLevel="0" collapsed="false">
      <c r="A12" s="5" t="s">
        <v>39</v>
      </c>
      <c r="B12" s="6" t="s">
        <v>40</v>
      </c>
      <c r="C12" s="7" t="s">
        <v>25</v>
      </c>
      <c r="D12" s="7" t="s">
        <v>41</v>
      </c>
      <c r="E12" s="7" t="s">
        <v>21</v>
      </c>
      <c r="F12" s="8" t="n">
        <v>1000</v>
      </c>
      <c r="G12" s="6" t="s">
        <v>22</v>
      </c>
      <c r="H12" s="21" t="n">
        <v>76.44</v>
      </c>
      <c r="I12" s="21" t="n">
        <v>71.31</v>
      </c>
      <c r="J12" s="21" t="n">
        <v>-0.74</v>
      </c>
      <c r="K12" s="21" t="n">
        <v>5130</v>
      </c>
      <c r="L12" s="21" t="n">
        <v>76440</v>
      </c>
      <c r="M12" s="10" t="n">
        <v>7.19</v>
      </c>
      <c r="N12" s="22" t="n">
        <f aca="false">I12*F12</f>
        <v>71310</v>
      </c>
      <c r="O12" s="12" t="n">
        <f aca="false">N12/$N$61</f>
        <v>0.0561825476221355</v>
      </c>
    </row>
    <row r="13" customFormat="false" ht="16.5" hidden="false" customHeight="true" outlineLevel="0" collapsed="false">
      <c r="A13" s="13" t="s">
        <v>42</v>
      </c>
      <c r="B13" s="14" t="s">
        <v>43</v>
      </c>
      <c r="C13" s="15" t="s">
        <v>25</v>
      </c>
      <c r="D13" s="15" t="s">
        <v>44</v>
      </c>
      <c r="E13" s="15" t="s">
        <v>21</v>
      </c>
      <c r="F13" s="16" t="n">
        <v>1250</v>
      </c>
      <c r="G13" s="14" t="s">
        <v>22</v>
      </c>
      <c r="H13" s="17" t="n">
        <v>39.32</v>
      </c>
      <c r="I13" s="17" t="n">
        <v>41.05</v>
      </c>
      <c r="J13" s="17" t="n">
        <v>0.2</v>
      </c>
      <c r="K13" s="17" t="n">
        <v>-2162.5</v>
      </c>
      <c r="L13" s="17" t="n">
        <v>49150</v>
      </c>
      <c r="M13" s="18" t="n">
        <v>-4.21</v>
      </c>
      <c r="N13" s="19" t="n">
        <f aca="false">I13*F13</f>
        <v>51312.5</v>
      </c>
      <c r="O13" s="20" t="n">
        <f aca="false">N13/$N$61</f>
        <v>0.0404272468778689</v>
      </c>
    </row>
    <row r="14" customFormat="false" ht="16.5" hidden="false" customHeight="true" outlineLevel="0" collapsed="false">
      <c r="A14" s="5" t="s">
        <v>45</v>
      </c>
      <c r="B14" s="6" t="s">
        <v>46</v>
      </c>
      <c r="C14" s="7" t="s">
        <v>47</v>
      </c>
      <c r="D14" s="7" t="s">
        <v>47</v>
      </c>
      <c r="E14" s="7" t="s">
        <v>21</v>
      </c>
      <c r="F14" s="8" t="n">
        <v>500</v>
      </c>
      <c r="G14" s="6" t="s">
        <v>22</v>
      </c>
      <c r="H14" s="21" t="n">
        <v>81.63</v>
      </c>
      <c r="I14" s="21" t="n">
        <v>92.53</v>
      </c>
      <c r="J14" s="21" t="n">
        <v>-0.05</v>
      </c>
      <c r="K14" s="21" t="n">
        <v>-5450</v>
      </c>
      <c r="L14" s="21" t="n">
        <v>40815</v>
      </c>
      <c r="M14" s="10" t="n">
        <v>-11.78</v>
      </c>
      <c r="N14" s="22" t="n">
        <f aca="false">I14*F14</f>
        <v>46265</v>
      </c>
      <c r="O14" s="12" t="n">
        <f aca="false">N14/$N$61</f>
        <v>0.0364505057598948</v>
      </c>
    </row>
    <row r="15" customFormat="false" ht="16.5" hidden="false" customHeight="true" outlineLevel="0" collapsed="false">
      <c r="A15" s="13" t="s">
        <v>48</v>
      </c>
      <c r="B15" s="14" t="s">
        <v>49</v>
      </c>
      <c r="C15" s="15" t="s">
        <v>25</v>
      </c>
      <c r="D15" s="15" t="s">
        <v>26</v>
      </c>
      <c r="E15" s="15" t="s">
        <v>21</v>
      </c>
      <c r="F15" s="16" t="n">
        <v>75</v>
      </c>
      <c r="G15" s="14" t="s">
        <v>22</v>
      </c>
      <c r="H15" s="17" t="n">
        <v>769.66</v>
      </c>
      <c r="I15" s="17" t="n">
        <v>587.84</v>
      </c>
      <c r="J15" s="17" t="n">
        <v>4.29</v>
      </c>
      <c r="K15" s="17" t="n">
        <v>13636.5</v>
      </c>
      <c r="L15" s="17" t="n">
        <v>57724.5</v>
      </c>
      <c r="M15" s="18" t="n">
        <v>30.93</v>
      </c>
      <c r="N15" s="19" t="n">
        <f aca="false">I15*F15</f>
        <v>44088</v>
      </c>
      <c r="O15" s="20" t="n">
        <f aca="false">N15/$N$61</f>
        <v>0.034735326876521</v>
      </c>
    </row>
    <row r="16" customFormat="false" ht="16.5" hidden="false" customHeight="true" outlineLevel="0" collapsed="false">
      <c r="A16" s="23" t="s">
        <v>50</v>
      </c>
      <c r="B16" s="24" t="s">
        <v>51</v>
      </c>
      <c r="C16" s="25" t="s">
        <v>34</v>
      </c>
      <c r="D16" s="25" t="s">
        <v>29</v>
      </c>
      <c r="E16" s="25" t="s">
        <v>52</v>
      </c>
      <c r="F16" s="26" t="n">
        <v>1000</v>
      </c>
      <c r="G16" s="24" t="s">
        <v>22</v>
      </c>
      <c r="H16" s="27" t="n">
        <v>58.34</v>
      </c>
      <c r="I16" s="27" t="n">
        <v>40</v>
      </c>
      <c r="J16" s="27" t="n">
        <v>1.92</v>
      </c>
      <c r="K16" s="27" t="n">
        <v>18340</v>
      </c>
      <c r="L16" s="27" t="n">
        <v>58340</v>
      </c>
      <c r="M16" s="28" t="n">
        <v>45.85</v>
      </c>
      <c r="N16" s="29" t="n">
        <f aca="false">I16*F16</f>
        <v>40000</v>
      </c>
      <c r="O16" s="30" t="n">
        <f aca="false">N16/$N$61</f>
        <v>0.0315145408061341</v>
      </c>
    </row>
    <row r="17" customFormat="false" ht="16.5" hidden="false" customHeight="true" outlineLevel="0" collapsed="false">
      <c r="A17" s="13" t="s">
        <v>53</v>
      </c>
      <c r="B17" s="14" t="s">
        <v>54</v>
      </c>
      <c r="C17" s="15" t="s">
        <v>25</v>
      </c>
      <c r="D17" s="15" t="s">
        <v>55</v>
      </c>
      <c r="E17" s="15" t="s">
        <v>21</v>
      </c>
      <c r="F17" s="16" t="n">
        <v>600</v>
      </c>
      <c r="G17" s="14" t="s">
        <v>22</v>
      </c>
      <c r="H17" s="17" t="n">
        <v>46.74</v>
      </c>
      <c r="I17" s="17" t="n">
        <v>55.49</v>
      </c>
      <c r="J17" s="17" t="n">
        <v>0.15</v>
      </c>
      <c r="K17" s="17" t="n">
        <v>-5250</v>
      </c>
      <c r="L17" s="17" t="n">
        <v>28044</v>
      </c>
      <c r="M17" s="18" t="n">
        <v>-15.77</v>
      </c>
      <c r="N17" s="19" t="n">
        <f aca="false">I17*F17</f>
        <v>33294</v>
      </c>
      <c r="O17" s="20" t="n">
        <f aca="false">N17/$N$61</f>
        <v>0.0262311280399857</v>
      </c>
    </row>
    <row r="18" customFormat="false" ht="16.5" hidden="false" customHeight="true" outlineLevel="0" collapsed="false">
      <c r="A18" s="5" t="s">
        <v>56</v>
      </c>
      <c r="B18" s="6" t="s">
        <v>57</v>
      </c>
      <c r="C18" s="7" t="s">
        <v>25</v>
      </c>
      <c r="D18" s="7" t="s">
        <v>55</v>
      </c>
      <c r="E18" s="7" t="s">
        <v>21</v>
      </c>
      <c r="F18" s="8" t="n">
        <v>1000</v>
      </c>
      <c r="G18" s="6" t="s">
        <v>22</v>
      </c>
      <c r="H18" s="21" t="n">
        <v>32.5</v>
      </c>
      <c r="I18" s="21" t="n">
        <v>32.245</v>
      </c>
      <c r="J18" s="21" t="n">
        <v>-0.01</v>
      </c>
      <c r="K18" s="21" t="n">
        <v>255</v>
      </c>
      <c r="L18" s="21" t="n">
        <v>32500</v>
      </c>
      <c r="M18" s="10" t="n">
        <v>0.79</v>
      </c>
      <c r="N18" s="22" t="n">
        <f aca="false">I18*F18</f>
        <v>32245</v>
      </c>
      <c r="O18" s="12" t="n">
        <f aca="false">N18/$N$61</f>
        <v>0.0254046592073448</v>
      </c>
    </row>
    <row r="19" customFormat="false" ht="16.5" hidden="false" customHeight="true" outlineLevel="0" collapsed="false">
      <c r="A19" s="13" t="s">
        <v>58</v>
      </c>
      <c r="B19" s="14" t="s">
        <v>59</v>
      </c>
      <c r="C19" s="15" t="s">
        <v>25</v>
      </c>
      <c r="D19" s="15" t="s">
        <v>44</v>
      </c>
      <c r="E19" s="15" t="s">
        <v>21</v>
      </c>
      <c r="F19" s="16" t="n">
        <v>230</v>
      </c>
      <c r="G19" s="14" t="s">
        <v>22</v>
      </c>
      <c r="H19" s="17" t="n">
        <v>157.09</v>
      </c>
      <c r="I19" s="17" t="n">
        <v>134.557391304348</v>
      </c>
      <c r="J19" s="17" t="n">
        <v>0.58</v>
      </c>
      <c r="K19" s="17" t="n">
        <v>5182.5</v>
      </c>
      <c r="L19" s="17" t="n">
        <v>36130.7</v>
      </c>
      <c r="M19" s="18" t="n">
        <v>16.75</v>
      </c>
      <c r="N19" s="19" t="n">
        <f aca="false">I19*F19</f>
        <v>30948.2</v>
      </c>
      <c r="O19" s="20" t="n">
        <f aca="false">N19/$N$61</f>
        <v>0.02438295779441</v>
      </c>
    </row>
    <row r="20" customFormat="false" ht="16.5" hidden="false" customHeight="true" outlineLevel="0" collapsed="false">
      <c r="A20" s="23" t="s">
        <v>60</v>
      </c>
      <c r="B20" s="24" t="s">
        <v>61</v>
      </c>
      <c r="C20" s="25" t="s">
        <v>62</v>
      </c>
      <c r="D20" s="25" t="s">
        <v>63</v>
      </c>
      <c r="E20" s="25" t="s">
        <v>52</v>
      </c>
      <c r="F20" s="26" t="n">
        <v>100</v>
      </c>
      <c r="G20" s="24" t="s">
        <v>22</v>
      </c>
      <c r="H20" s="27" t="n">
        <v>410.39</v>
      </c>
      <c r="I20" s="27" t="n">
        <v>301.67</v>
      </c>
      <c r="J20" s="27" t="n">
        <v>-0.31</v>
      </c>
      <c r="K20" s="27" t="n">
        <v>10872</v>
      </c>
      <c r="L20" s="27" t="n">
        <v>41039</v>
      </c>
      <c r="M20" s="28" t="n">
        <v>36.04</v>
      </c>
      <c r="N20" s="29" t="n">
        <f aca="false">I20*F20</f>
        <v>30167</v>
      </c>
      <c r="O20" s="30" t="n">
        <f aca="false">N20/$N$61</f>
        <v>0.0237674788124662</v>
      </c>
    </row>
    <row r="21" customFormat="false" ht="16.5" hidden="false" customHeight="true" outlineLevel="0" collapsed="false">
      <c r="A21" s="13" t="s">
        <v>64</v>
      </c>
      <c r="B21" s="14" t="s">
        <v>65</v>
      </c>
      <c r="C21" s="15" t="s">
        <v>47</v>
      </c>
      <c r="D21" s="15" t="s">
        <v>47</v>
      </c>
      <c r="E21" s="15" t="s">
        <v>21</v>
      </c>
      <c r="F21" s="16" t="n">
        <v>300</v>
      </c>
      <c r="G21" s="14" t="s">
        <v>22</v>
      </c>
      <c r="H21" s="17" t="n">
        <v>96.09</v>
      </c>
      <c r="I21" s="17" t="n">
        <v>99.98</v>
      </c>
      <c r="J21" s="17" t="n">
        <v>0.04</v>
      </c>
      <c r="K21" s="17" t="n">
        <v>-1167</v>
      </c>
      <c r="L21" s="17" t="n">
        <v>28827</v>
      </c>
      <c r="M21" s="18" t="n">
        <v>-3.89</v>
      </c>
      <c r="N21" s="19" t="n">
        <f aca="false">I21*F21</f>
        <v>29994</v>
      </c>
      <c r="O21" s="20" t="n">
        <f aca="false">N21/$N$61</f>
        <v>0.0236311784234796</v>
      </c>
    </row>
    <row r="22" customFormat="false" ht="16.5" hidden="false" customHeight="true" outlineLevel="0" collapsed="false">
      <c r="A22" s="5" t="s">
        <v>66</v>
      </c>
      <c r="B22" s="6" t="s">
        <v>67</v>
      </c>
      <c r="C22" s="7" t="s">
        <v>25</v>
      </c>
      <c r="D22" s="7" t="s">
        <v>68</v>
      </c>
      <c r="E22" s="7" t="s">
        <v>21</v>
      </c>
      <c r="F22" s="8" t="n">
        <v>250</v>
      </c>
      <c r="G22" s="6" t="s">
        <v>22</v>
      </c>
      <c r="H22" s="21" t="n">
        <v>97.97</v>
      </c>
      <c r="I22" s="21" t="n">
        <v>99.43</v>
      </c>
      <c r="J22" s="21" t="n">
        <v>-0.86</v>
      </c>
      <c r="K22" s="21" t="n">
        <v>-365</v>
      </c>
      <c r="L22" s="21" t="n">
        <v>24492.5</v>
      </c>
      <c r="M22" s="10" t="n">
        <v>-1.47</v>
      </c>
      <c r="N22" s="22" t="n">
        <f aca="false">I22*F22</f>
        <v>24857.5</v>
      </c>
      <c r="O22" s="12" t="n">
        <f aca="false">N22/$N$61</f>
        <v>0.0195843174522119</v>
      </c>
    </row>
    <row r="23" customFormat="false" ht="16.5" hidden="false" customHeight="true" outlineLevel="0" collapsed="false">
      <c r="A23" s="13" t="s">
        <v>69</v>
      </c>
      <c r="B23" s="14" t="s">
        <v>70</v>
      </c>
      <c r="C23" s="15" t="s">
        <v>25</v>
      </c>
      <c r="D23" s="15" t="s">
        <v>29</v>
      </c>
      <c r="E23" s="15" t="s">
        <v>21</v>
      </c>
      <c r="F23" s="16" t="n">
        <v>200</v>
      </c>
      <c r="G23" s="14" t="s">
        <v>22</v>
      </c>
      <c r="H23" s="17" t="n">
        <v>139.68</v>
      </c>
      <c r="I23" s="17" t="n">
        <v>118.64</v>
      </c>
      <c r="J23" s="17" t="n">
        <v>0.75</v>
      </c>
      <c r="K23" s="17" t="n">
        <v>4208</v>
      </c>
      <c r="L23" s="17" t="n">
        <v>27936</v>
      </c>
      <c r="M23" s="18" t="n">
        <v>17.73</v>
      </c>
      <c r="N23" s="19" t="n">
        <f aca="false">I23*F23</f>
        <v>23728</v>
      </c>
      <c r="O23" s="20" t="n">
        <f aca="false">N23/$N$61</f>
        <v>0.0186944256061987</v>
      </c>
    </row>
    <row r="24" customFormat="false" ht="16.5" hidden="false" customHeight="true" outlineLevel="0" collapsed="false">
      <c r="A24" s="5" t="s">
        <v>71</v>
      </c>
      <c r="B24" s="6" t="s">
        <v>72</v>
      </c>
      <c r="C24" s="7" t="s">
        <v>25</v>
      </c>
      <c r="D24" s="7" t="s">
        <v>55</v>
      </c>
      <c r="E24" s="7" t="s">
        <v>21</v>
      </c>
      <c r="F24" s="8" t="n">
        <v>1000</v>
      </c>
      <c r="G24" s="6" t="s">
        <v>22</v>
      </c>
      <c r="H24" s="21" t="n">
        <v>24.165</v>
      </c>
      <c r="I24" s="21" t="n">
        <v>23.11</v>
      </c>
      <c r="J24" s="21" t="n">
        <v>0.12</v>
      </c>
      <c r="K24" s="21" t="n">
        <v>1055</v>
      </c>
      <c r="L24" s="21" t="n">
        <v>24165</v>
      </c>
      <c r="M24" s="10" t="n">
        <v>4.57</v>
      </c>
      <c r="N24" s="22" t="n">
        <f aca="false">I24*F24</f>
        <v>23110</v>
      </c>
      <c r="O24" s="12" t="n">
        <f aca="false">N24/$N$61</f>
        <v>0.018207525950744</v>
      </c>
    </row>
    <row r="25" customFormat="false" ht="16.5" hidden="false" customHeight="true" outlineLevel="0" collapsed="false">
      <c r="A25" s="13" t="s">
        <v>73</v>
      </c>
      <c r="B25" s="14" t="s">
        <v>74</v>
      </c>
      <c r="C25" s="15" t="s">
        <v>47</v>
      </c>
      <c r="D25" s="15" t="s">
        <v>47</v>
      </c>
      <c r="E25" s="15" t="s">
        <v>21</v>
      </c>
      <c r="F25" s="16" t="n">
        <v>20</v>
      </c>
      <c r="G25" s="14" t="s">
        <v>22</v>
      </c>
      <c r="H25" s="17" t="n">
        <v>978.29</v>
      </c>
      <c r="I25" s="17" t="n">
        <v>978.29</v>
      </c>
      <c r="J25" s="17" t="n">
        <v>0</v>
      </c>
      <c r="K25" s="17" t="n">
        <v>0</v>
      </c>
      <c r="L25" s="17" t="n">
        <v>19565.8</v>
      </c>
      <c r="M25" s="18" t="n">
        <v>0</v>
      </c>
      <c r="N25" s="19" t="n">
        <f aca="false">I25*F25</f>
        <v>19565.8</v>
      </c>
      <c r="O25" s="20" t="n">
        <f aca="false">N25/$N$61</f>
        <v>0.0154151800626165</v>
      </c>
    </row>
    <row r="26" customFormat="false" ht="16.5" hidden="false" customHeight="true" outlineLevel="0" collapsed="false">
      <c r="A26" s="5" t="s">
        <v>75</v>
      </c>
      <c r="B26" s="6" t="s">
        <v>76</v>
      </c>
      <c r="C26" s="7" t="s">
        <v>25</v>
      </c>
      <c r="D26" s="7" t="s">
        <v>77</v>
      </c>
      <c r="E26" s="7" t="s">
        <v>21</v>
      </c>
      <c r="F26" s="8" t="n">
        <v>1000</v>
      </c>
      <c r="G26" s="6" t="s">
        <v>22</v>
      </c>
      <c r="H26" s="21" t="n">
        <v>21.11</v>
      </c>
      <c r="I26" s="21" t="n">
        <v>18.62</v>
      </c>
      <c r="J26" s="21" t="n">
        <v>0.22</v>
      </c>
      <c r="K26" s="21" t="n">
        <v>2490</v>
      </c>
      <c r="L26" s="21" t="n">
        <v>21110</v>
      </c>
      <c r="M26" s="10" t="n">
        <v>13.37</v>
      </c>
      <c r="N26" s="22" t="n">
        <f aca="false">I26*F26</f>
        <v>18620</v>
      </c>
      <c r="O26" s="12" t="n">
        <f aca="false">N26/$N$61</f>
        <v>0.0146700187452554</v>
      </c>
    </row>
    <row r="27" customFormat="false" ht="16.5" hidden="false" customHeight="true" outlineLevel="0" collapsed="false">
      <c r="A27" s="13" t="s">
        <v>78</v>
      </c>
      <c r="B27" s="14" t="s">
        <v>79</v>
      </c>
      <c r="C27" s="15" t="s">
        <v>25</v>
      </c>
      <c r="D27" s="15" t="s">
        <v>55</v>
      </c>
      <c r="E27" s="15" t="s">
        <v>21</v>
      </c>
      <c r="F27" s="16" t="n">
        <v>600</v>
      </c>
      <c r="G27" s="14" t="s">
        <v>22</v>
      </c>
      <c r="H27" s="17" t="n">
        <v>30.78</v>
      </c>
      <c r="I27" s="17" t="n">
        <v>28.89</v>
      </c>
      <c r="J27" s="17" t="n">
        <v>-0.16</v>
      </c>
      <c r="K27" s="17" t="n">
        <v>1134</v>
      </c>
      <c r="L27" s="17" t="n">
        <v>18468</v>
      </c>
      <c r="M27" s="18" t="n">
        <v>6.54</v>
      </c>
      <c r="N27" s="19" t="n">
        <f aca="false">I27*F27</f>
        <v>17334</v>
      </c>
      <c r="O27" s="20" t="n">
        <f aca="false">N27/$N$61</f>
        <v>0.0136568262583382</v>
      </c>
    </row>
    <row r="28" customFormat="false" ht="16.5" hidden="false" customHeight="true" outlineLevel="0" collapsed="false">
      <c r="A28" s="5" t="s">
        <v>80</v>
      </c>
      <c r="B28" s="6" t="s">
        <v>81</v>
      </c>
      <c r="C28" s="7" t="s">
        <v>47</v>
      </c>
      <c r="D28" s="7" t="s">
        <v>47</v>
      </c>
      <c r="E28" s="7" t="s">
        <v>21</v>
      </c>
      <c r="F28" s="8" t="n">
        <v>20</v>
      </c>
      <c r="G28" s="6" t="s">
        <v>22</v>
      </c>
      <c r="H28" s="21" t="n">
        <v>724.255735</v>
      </c>
      <c r="I28" s="21" t="n">
        <v>789.82326</v>
      </c>
      <c r="J28" s="21" t="n">
        <v>0</v>
      </c>
      <c r="K28" s="21" t="n">
        <v>-1311.35</v>
      </c>
      <c r="L28" s="21" t="n">
        <v>14485.1147</v>
      </c>
      <c r="M28" s="10" t="n">
        <v>-8.3</v>
      </c>
      <c r="N28" s="22" t="n">
        <f aca="false">I28*F28</f>
        <v>15796.4652</v>
      </c>
      <c r="O28" s="12" t="n">
        <f aca="false">N28/$N$61</f>
        <v>0.0124454586784519</v>
      </c>
    </row>
    <row r="29" customFormat="false" ht="16.5" hidden="false" customHeight="true" outlineLevel="0" collapsed="false">
      <c r="A29" s="13" t="s">
        <v>82</v>
      </c>
      <c r="B29" s="14" t="s">
        <v>83</v>
      </c>
      <c r="C29" s="15" t="s">
        <v>25</v>
      </c>
      <c r="D29" s="15" t="s">
        <v>55</v>
      </c>
      <c r="E29" s="15" t="s">
        <v>21</v>
      </c>
      <c r="F29" s="16" t="n">
        <v>250</v>
      </c>
      <c r="G29" s="14" t="s">
        <v>22</v>
      </c>
      <c r="H29" s="17" t="n">
        <v>49.08</v>
      </c>
      <c r="I29" s="17" t="n">
        <v>48.83</v>
      </c>
      <c r="J29" s="17" t="n">
        <v>-0.04</v>
      </c>
      <c r="K29" s="17" t="n">
        <v>62.5</v>
      </c>
      <c r="L29" s="17" t="n">
        <v>12270</v>
      </c>
      <c r="M29" s="18" t="n">
        <v>0.51</v>
      </c>
      <c r="N29" s="19" t="n">
        <f aca="false">I29*F29</f>
        <v>12207.5</v>
      </c>
      <c r="O29" s="20" t="n">
        <f aca="false">N29/$N$61</f>
        <v>0.00961784392227204</v>
      </c>
    </row>
    <row r="30" customFormat="false" ht="16.5" hidden="false" customHeight="true" outlineLevel="0" collapsed="false">
      <c r="A30" s="5" t="s">
        <v>84</v>
      </c>
      <c r="B30" s="6" t="s">
        <v>85</v>
      </c>
      <c r="C30" s="7" t="s">
        <v>25</v>
      </c>
      <c r="D30" s="7" t="s">
        <v>29</v>
      </c>
      <c r="E30" s="7" t="s">
        <v>21</v>
      </c>
      <c r="F30" s="8" t="n">
        <v>200</v>
      </c>
      <c r="G30" s="6" t="s">
        <v>22</v>
      </c>
      <c r="H30" s="21" t="n">
        <v>62.3147</v>
      </c>
      <c r="I30" s="21" t="n">
        <v>54.75</v>
      </c>
      <c r="J30" s="21" t="n">
        <v>0.43</v>
      </c>
      <c r="K30" s="21" t="n">
        <v>1512.94</v>
      </c>
      <c r="L30" s="21" t="n">
        <v>12462.94</v>
      </c>
      <c r="M30" s="10" t="n">
        <v>13.82</v>
      </c>
      <c r="N30" s="22" t="n">
        <f aca="false">I30*F30</f>
        <v>10950</v>
      </c>
      <c r="O30" s="12" t="n">
        <f aca="false">N30/$N$61</f>
        <v>0.0086271055456792</v>
      </c>
    </row>
    <row r="31" customFormat="false" ht="16.5" hidden="false" customHeight="true" outlineLevel="0" collapsed="false">
      <c r="A31" s="13" t="s">
        <v>86</v>
      </c>
      <c r="B31" s="14" t="s">
        <v>87</v>
      </c>
      <c r="C31" s="15" t="s">
        <v>25</v>
      </c>
      <c r="D31" s="15" t="s">
        <v>38</v>
      </c>
      <c r="E31" s="15" t="s">
        <v>21</v>
      </c>
      <c r="F31" s="16" t="n">
        <v>200</v>
      </c>
      <c r="G31" s="14" t="s">
        <v>22</v>
      </c>
      <c r="H31" s="17" t="n">
        <v>59.85</v>
      </c>
      <c r="I31" s="17" t="n">
        <v>46.37</v>
      </c>
      <c r="J31" s="17" t="n">
        <v>0.05</v>
      </c>
      <c r="K31" s="17" t="n">
        <v>2696</v>
      </c>
      <c r="L31" s="17" t="n">
        <v>11970</v>
      </c>
      <c r="M31" s="18" t="n">
        <v>29.07</v>
      </c>
      <c r="N31" s="19" t="n">
        <f aca="false">I31*F31</f>
        <v>9274</v>
      </c>
      <c r="O31" s="20" t="n">
        <f aca="false">N31/$N$61</f>
        <v>0.00730664628590219</v>
      </c>
    </row>
    <row r="32" customFormat="false" ht="16.5" hidden="false" customHeight="true" outlineLevel="0" collapsed="false">
      <c r="A32" s="5" t="s">
        <v>88</v>
      </c>
      <c r="B32" s="6" t="s">
        <v>89</v>
      </c>
      <c r="C32" s="7" t="s">
        <v>62</v>
      </c>
      <c r="D32" s="7" t="s">
        <v>44</v>
      </c>
      <c r="E32" s="7" t="s">
        <v>21</v>
      </c>
      <c r="F32" s="8" t="n">
        <v>95</v>
      </c>
      <c r="G32" s="6" t="s">
        <v>22</v>
      </c>
      <c r="H32" s="21" t="n">
        <v>65.78</v>
      </c>
      <c r="I32" s="21" t="n">
        <v>78.8657894736842</v>
      </c>
      <c r="J32" s="21" t="n">
        <v>-0.35</v>
      </c>
      <c r="K32" s="21" t="n">
        <v>-1243.15</v>
      </c>
      <c r="L32" s="21" t="n">
        <v>6249.1</v>
      </c>
      <c r="M32" s="10" t="n">
        <v>-16.59</v>
      </c>
      <c r="N32" s="22" t="n">
        <f aca="false">I32*F32</f>
        <v>7492.25</v>
      </c>
      <c r="O32" s="12" t="n">
        <f aca="false">N32/$N$61</f>
        <v>0.00590287045886895</v>
      </c>
    </row>
    <row r="33" customFormat="false" ht="16.5" hidden="false" customHeight="true" outlineLevel="0" collapsed="false">
      <c r="A33" s="13" t="s">
        <v>90</v>
      </c>
      <c r="B33" s="14" t="s">
        <v>91</v>
      </c>
      <c r="C33" s="15" t="s">
        <v>62</v>
      </c>
      <c r="D33" s="15" t="s">
        <v>92</v>
      </c>
      <c r="E33" s="15" t="s">
        <v>21</v>
      </c>
      <c r="F33" s="16" t="n">
        <v>100</v>
      </c>
      <c r="G33" s="14" t="s">
        <v>22</v>
      </c>
      <c r="H33" s="17" t="n">
        <v>71.88</v>
      </c>
      <c r="I33" s="17" t="n">
        <v>72.37</v>
      </c>
      <c r="J33" s="17" t="n">
        <v>-0.58</v>
      </c>
      <c r="K33" s="17" t="n">
        <v>-49</v>
      </c>
      <c r="L33" s="17" t="n">
        <v>7188</v>
      </c>
      <c r="M33" s="18" t="n">
        <v>-0.68</v>
      </c>
      <c r="N33" s="19" t="n">
        <f aca="false">I33*F33</f>
        <v>7237</v>
      </c>
      <c r="O33" s="20" t="n">
        <f aca="false">N33/$N$61</f>
        <v>0.00570176829534981</v>
      </c>
    </row>
    <row r="34" customFormat="false" ht="16.5" hidden="false" customHeight="true" outlineLevel="0" collapsed="false">
      <c r="A34" s="5" t="s">
        <v>93</v>
      </c>
      <c r="B34" s="6" t="s">
        <v>94</v>
      </c>
      <c r="C34" s="7" t="s">
        <v>62</v>
      </c>
      <c r="D34" s="7" t="s">
        <v>77</v>
      </c>
      <c r="E34" s="7" t="s">
        <v>21</v>
      </c>
      <c r="F34" s="8" t="n">
        <v>33</v>
      </c>
      <c r="G34" s="6" t="s">
        <v>22</v>
      </c>
      <c r="H34" s="21" t="n">
        <v>130.53</v>
      </c>
      <c r="I34" s="21" t="n">
        <v>188.1</v>
      </c>
      <c r="J34" s="21" t="n">
        <v>4.47</v>
      </c>
      <c r="K34" s="21" t="n">
        <v>-1899.81</v>
      </c>
      <c r="L34" s="21" t="n">
        <v>4307.49</v>
      </c>
      <c r="M34" s="10" t="n">
        <v>-30.61</v>
      </c>
      <c r="N34" s="22" t="n">
        <f aca="false">I34*F34</f>
        <v>6207.3</v>
      </c>
      <c r="O34" s="12" t="n">
        <f aca="false">N34/$N$61</f>
        <v>0.0048905052286479</v>
      </c>
    </row>
    <row r="35" customFormat="false" ht="16.5" hidden="false" customHeight="true" outlineLevel="0" collapsed="false">
      <c r="A35" s="13" t="s">
        <v>95</v>
      </c>
      <c r="B35" s="14" t="s">
        <v>96</v>
      </c>
      <c r="C35" s="15" t="s">
        <v>62</v>
      </c>
      <c r="D35" s="15" t="s">
        <v>77</v>
      </c>
      <c r="E35" s="15" t="s">
        <v>21</v>
      </c>
      <c r="F35" s="16" t="n">
        <v>35</v>
      </c>
      <c r="G35" s="14" t="s">
        <v>22</v>
      </c>
      <c r="H35" s="17" t="n">
        <v>217.94</v>
      </c>
      <c r="I35" s="17" t="n">
        <v>177.17</v>
      </c>
      <c r="J35" s="17" t="n">
        <v>1.94</v>
      </c>
      <c r="K35" s="17" t="n">
        <v>1426.95</v>
      </c>
      <c r="L35" s="17" t="n">
        <v>7627.9</v>
      </c>
      <c r="M35" s="18" t="n">
        <v>23.01</v>
      </c>
      <c r="N35" s="19" t="n">
        <f aca="false">I35*F35</f>
        <v>6200.95</v>
      </c>
      <c r="O35" s="20" t="n">
        <f aca="false">N35/$N$61</f>
        <v>0.00488550229529493</v>
      </c>
    </row>
    <row r="36" customFormat="false" ht="16.5" hidden="false" customHeight="true" outlineLevel="0" collapsed="false">
      <c r="A36" s="5" t="s">
        <v>97</v>
      </c>
      <c r="B36" s="6" t="s">
        <v>98</v>
      </c>
      <c r="C36" s="7" t="s">
        <v>62</v>
      </c>
      <c r="D36" s="7" t="s">
        <v>77</v>
      </c>
      <c r="E36" s="7" t="s">
        <v>21</v>
      </c>
      <c r="F36" s="8" t="n">
        <v>12</v>
      </c>
      <c r="G36" s="6" t="s">
        <v>22</v>
      </c>
      <c r="H36" s="21" t="n">
        <v>531.33</v>
      </c>
      <c r="I36" s="21" t="n">
        <v>479.49</v>
      </c>
      <c r="J36" s="21" t="n">
        <v>-1.27</v>
      </c>
      <c r="K36" s="21" t="n">
        <v>622.08</v>
      </c>
      <c r="L36" s="21" t="n">
        <v>6375.96</v>
      </c>
      <c r="M36" s="10" t="n">
        <v>10.81</v>
      </c>
      <c r="N36" s="22" t="n">
        <f aca="false">I36*F36</f>
        <v>5753.88</v>
      </c>
      <c r="O36" s="12" t="n">
        <f aca="false">N36/$N$61</f>
        <v>0.00453327215133997</v>
      </c>
    </row>
    <row r="37" customFormat="false" ht="16.5" hidden="false" customHeight="true" outlineLevel="0" collapsed="false">
      <c r="A37" s="13" t="s">
        <v>99</v>
      </c>
      <c r="B37" s="14" t="s">
        <v>100</v>
      </c>
      <c r="C37" s="15" t="s">
        <v>20</v>
      </c>
      <c r="D37" s="15" t="s">
        <v>20</v>
      </c>
      <c r="E37" s="15" t="s">
        <v>21</v>
      </c>
      <c r="F37" s="16" t="n">
        <v>40</v>
      </c>
      <c r="G37" s="14" t="s">
        <v>22</v>
      </c>
      <c r="H37" s="17" t="n">
        <v>102.88</v>
      </c>
      <c r="I37" s="17" t="n">
        <v>139.91</v>
      </c>
      <c r="J37" s="17" t="n">
        <v>0</v>
      </c>
      <c r="K37" s="17" t="n">
        <v>-1481.2</v>
      </c>
      <c r="L37" s="17" t="n">
        <v>4115.2</v>
      </c>
      <c r="M37" s="18" t="n">
        <v>-26.47</v>
      </c>
      <c r="N37" s="19" t="n">
        <f aca="false">I37*F37</f>
        <v>5596.4</v>
      </c>
      <c r="O37" s="20" t="n">
        <f aca="false">N37/$N$61</f>
        <v>0.00440919940418622</v>
      </c>
    </row>
    <row r="38" customFormat="false" ht="16.5" hidden="false" customHeight="true" outlineLevel="0" collapsed="false">
      <c r="A38" s="5" t="s">
        <v>101</v>
      </c>
      <c r="B38" s="6" t="s">
        <v>102</v>
      </c>
      <c r="C38" s="7" t="s">
        <v>20</v>
      </c>
      <c r="D38" s="7" t="s">
        <v>20</v>
      </c>
      <c r="E38" s="7" t="s">
        <v>21</v>
      </c>
      <c r="F38" s="8" t="n">
        <v>2</v>
      </c>
      <c r="G38" s="6" t="s">
        <v>22</v>
      </c>
      <c r="H38" s="21" t="n">
        <v>2366.24</v>
      </c>
      <c r="I38" s="21" t="n">
        <v>2394.79</v>
      </c>
      <c r="J38" s="21" t="n">
        <v>0</v>
      </c>
      <c r="K38" s="21" t="n">
        <v>-57.1</v>
      </c>
      <c r="L38" s="21" t="n">
        <v>4732.48</v>
      </c>
      <c r="M38" s="10" t="n">
        <v>-1.19</v>
      </c>
      <c r="N38" s="22" t="n">
        <f aca="false">I38*F38</f>
        <v>4789.58</v>
      </c>
      <c r="O38" s="12" t="n">
        <f aca="false">N38/$N$61</f>
        <v>0.00377353535885609</v>
      </c>
    </row>
    <row r="39" customFormat="false" ht="16.5" hidden="false" customHeight="true" outlineLevel="0" collapsed="false">
      <c r="A39" s="13" t="s">
        <v>103</v>
      </c>
      <c r="B39" s="14" t="s">
        <v>104</v>
      </c>
      <c r="C39" s="15" t="s">
        <v>25</v>
      </c>
      <c r="D39" s="15" t="s">
        <v>55</v>
      </c>
      <c r="E39" s="15" t="s">
        <v>21</v>
      </c>
      <c r="F39" s="16" t="n">
        <v>200</v>
      </c>
      <c r="G39" s="14" t="s">
        <v>22</v>
      </c>
      <c r="H39" s="17" t="n">
        <v>10.34</v>
      </c>
      <c r="I39" s="17" t="n">
        <v>21.67</v>
      </c>
      <c r="J39" s="17" t="n">
        <v>-0.18</v>
      </c>
      <c r="K39" s="17" t="n">
        <v>-2266</v>
      </c>
      <c r="L39" s="17" t="n">
        <v>2068</v>
      </c>
      <c r="M39" s="18" t="n">
        <v>-52.28</v>
      </c>
      <c r="N39" s="19" t="n">
        <f aca="false">I39*F39</f>
        <v>4334</v>
      </c>
      <c r="O39" s="20" t="n">
        <f aca="false">N39/$N$61</f>
        <v>0.00341460049634463</v>
      </c>
    </row>
    <row r="40" customFormat="false" ht="16.5" hidden="false" customHeight="true" outlineLevel="0" collapsed="false">
      <c r="A40" s="5" t="s">
        <v>105</v>
      </c>
      <c r="B40" s="6" t="s">
        <v>106</v>
      </c>
      <c r="C40" s="7" t="s">
        <v>62</v>
      </c>
      <c r="D40" s="7" t="s">
        <v>107</v>
      </c>
      <c r="E40" s="7" t="s">
        <v>21</v>
      </c>
      <c r="F40" s="8" t="n">
        <v>50</v>
      </c>
      <c r="G40" s="6" t="s">
        <v>22</v>
      </c>
      <c r="H40" s="21" t="n">
        <v>41.96</v>
      </c>
      <c r="I40" s="21" t="n">
        <v>77.97</v>
      </c>
      <c r="J40" s="21" t="n">
        <v>2.51</v>
      </c>
      <c r="K40" s="21" t="n">
        <v>-1800.5</v>
      </c>
      <c r="L40" s="21" t="n">
        <v>2098</v>
      </c>
      <c r="M40" s="10" t="n">
        <v>-46.18</v>
      </c>
      <c r="N40" s="22" t="n">
        <f aca="false">I40*F40</f>
        <v>3898.5</v>
      </c>
      <c r="O40" s="12" t="n">
        <f aca="false">N40/$N$61</f>
        <v>0.00307148593331784</v>
      </c>
    </row>
    <row r="41" customFormat="false" ht="16.5" hidden="false" customHeight="true" outlineLevel="0" collapsed="false">
      <c r="A41" s="13" t="s">
        <v>108</v>
      </c>
      <c r="B41" s="14" t="s">
        <v>109</v>
      </c>
      <c r="C41" s="15" t="s">
        <v>62</v>
      </c>
      <c r="D41" s="15" t="s">
        <v>110</v>
      </c>
      <c r="E41" s="15" t="s">
        <v>21</v>
      </c>
      <c r="F41" s="16" t="n">
        <v>70</v>
      </c>
      <c r="G41" s="14" t="s">
        <v>22</v>
      </c>
      <c r="H41" s="17" t="n">
        <v>23.75</v>
      </c>
      <c r="I41" s="17" t="n">
        <v>44</v>
      </c>
      <c r="J41" s="17" t="n">
        <v>0.83</v>
      </c>
      <c r="K41" s="17" t="n">
        <v>-1417.5</v>
      </c>
      <c r="L41" s="17" t="n">
        <v>1662.5</v>
      </c>
      <c r="M41" s="18" t="n">
        <v>-46.02</v>
      </c>
      <c r="N41" s="19" t="n">
        <f aca="false">I41*F41</f>
        <v>3080</v>
      </c>
      <c r="O41" s="20" t="n">
        <f aca="false">N41/$N$61</f>
        <v>0.00242661964207232</v>
      </c>
    </row>
    <row r="42" customFormat="false" ht="16.5" hidden="false" customHeight="true" outlineLevel="0" collapsed="false">
      <c r="A42" s="5" t="s">
        <v>111</v>
      </c>
      <c r="B42" s="6" t="s">
        <v>112</v>
      </c>
      <c r="C42" s="7" t="s">
        <v>62</v>
      </c>
      <c r="D42" s="7" t="s">
        <v>38</v>
      </c>
      <c r="E42" s="7" t="s">
        <v>21</v>
      </c>
      <c r="F42" s="8" t="n">
        <v>3</v>
      </c>
      <c r="G42" s="6" t="s">
        <v>22</v>
      </c>
      <c r="H42" s="21" t="n">
        <v>911.77</v>
      </c>
      <c r="I42" s="21" t="n">
        <v>798.91</v>
      </c>
      <c r="J42" s="21" t="n">
        <v>18.49</v>
      </c>
      <c r="K42" s="21" t="n">
        <v>338.58</v>
      </c>
      <c r="L42" s="21" t="n">
        <v>2735.31</v>
      </c>
      <c r="M42" s="10" t="n">
        <v>14.13</v>
      </c>
      <c r="N42" s="22" t="n">
        <f aca="false">I42*F42</f>
        <v>2396.73</v>
      </c>
      <c r="O42" s="12" t="n">
        <f aca="false">N42/$N$61</f>
        <v>0.00188829613465714</v>
      </c>
    </row>
    <row r="43" customFormat="false" ht="16.5" hidden="false" customHeight="true" outlineLevel="0" collapsed="false">
      <c r="A43" s="13" t="s">
        <v>113</v>
      </c>
      <c r="B43" s="14" t="s">
        <v>114</v>
      </c>
      <c r="C43" s="15" t="s">
        <v>62</v>
      </c>
      <c r="D43" s="15" t="s">
        <v>107</v>
      </c>
      <c r="E43" s="15" t="s">
        <v>21</v>
      </c>
      <c r="F43" s="16" t="n">
        <v>60</v>
      </c>
      <c r="G43" s="14" t="s">
        <v>22</v>
      </c>
      <c r="H43" s="17" t="n">
        <v>43.69</v>
      </c>
      <c r="I43" s="17" t="n">
        <v>37.8</v>
      </c>
      <c r="J43" s="17" t="n">
        <v>-1.52</v>
      </c>
      <c r="K43" s="17" t="n">
        <v>353.4</v>
      </c>
      <c r="L43" s="17" t="n">
        <v>2621.4</v>
      </c>
      <c r="M43" s="18" t="n">
        <v>15.58</v>
      </c>
      <c r="N43" s="19" t="n">
        <f aca="false">I43*F43</f>
        <v>2268</v>
      </c>
      <c r="O43" s="20" t="n">
        <f aca="false">N43/$N$61</f>
        <v>0.0017868744637078</v>
      </c>
    </row>
    <row r="44" customFormat="false" ht="16.5" hidden="false" customHeight="true" outlineLevel="0" collapsed="false">
      <c r="A44" s="5" t="s">
        <v>115</v>
      </c>
      <c r="B44" s="6" t="s">
        <v>116</v>
      </c>
      <c r="C44" s="7" t="s">
        <v>62</v>
      </c>
      <c r="D44" s="7" t="s">
        <v>38</v>
      </c>
      <c r="E44" s="7" t="s">
        <v>21</v>
      </c>
      <c r="F44" s="8" t="n">
        <v>20</v>
      </c>
      <c r="G44" s="6" t="s">
        <v>22</v>
      </c>
      <c r="H44" s="21" t="n">
        <v>103.63</v>
      </c>
      <c r="I44" s="21" t="n">
        <v>106</v>
      </c>
      <c r="J44" s="21" t="n">
        <v>0.14</v>
      </c>
      <c r="K44" s="21" t="n">
        <v>-47.4</v>
      </c>
      <c r="L44" s="21" t="n">
        <v>2072.6</v>
      </c>
      <c r="M44" s="10" t="n">
        <v>-2.24</v>
      </c>
      <c r="N44" s="22" t="n">
        <f aca="false">I44*F44</f>
        <v>2120</v>
      </c>
      <c r="O44" s="12" t="n">
        <f aca="false">N44/$N$61</f>
        <v>0.00167027066272511</v>
      </c>
    </row>
    <row r="45" customFormat="false" ht="16.5" hidden="false" customHeight="true" outlineLevel="0" collapsed="false">
      <c r="A45" s="13" t="s">
        <v>117</v>
      </c>
      <c r="B45" s="14" t="s">
        <v>118</v>
      </c>
      <c r="C45" s="15" t="s">
        <v>62</v>
      </c>
      <c r="D45" s="15" t="s">
        <v>38</v>
      </c>
      <c r="E45" s="15" t="s">
        <v>21</v>
      </c>
      <c r="F45" s="16" t="n">
        <v>25</v>
      </c>
      <c r="G45" s="14" t="s">
        <v>22</v>
      </c>
      <c r="H45" s="17" t="n">
        <v>82.66</v>
      </c>
      <c r="I45" s="17" t="n">
        <v>82.7</v>
      </c>
      <c r="J45" s="17" t="n">
        <v>0.01</v>
      </c>
      <c r="K45" s="17" t="n">
        <v>-1</v>
      </c>
      <c r="L45" s="17" t="n">
        <v>2066.5</v>
      </c>
      <c r="M45" s="18" t="n">
        <v>-0.05</v>
      </c>
      <c r="N45" s="19" t="n">
        <f aca="false">I45*F45</f>
        <v>2067.5</v>
      </c>
      <c r="O45" s="20" t="n">
        <f aca="false">N45/$N$61</f>
        <v>0.00162890782791706</v>
      </c>
    </row>
    <row r="46" customFormat="false" ht="16.5" hidden="false" customHeight="true" outlineLevel="0" collapsed="false">
      <c r="A46" s="5" t="s">
        <v>119</v>
      </c>
      <c r="B46" s="6" t="s">
        <v>120</v>
      </c>
      <c r="C46" s="7" t="s">
        <v>62</v>
      </c>
      <c r="D46" s="7" t="s">
        <v>38</v>
      </c>
      <c r="E46" s="7" t="s">
        <v>21</v>
      </c>
      <c r="F46" s="8" t="n">
        <v>13</v>
      </c>
      <c r="G46" s="6" t="s">
        <v>22</v>
      </c>
      <c r="H46" s="21" t="n">
        <v>186.91</v>
      </c>
      <c r="I46" s="21" t="n">
        <v>158.77</v>
      </c>
      <c r="J46" s="21" t="n">
        <v>3.42</v>
      </c>
      <c r="K46" s="21" t="n">
        <v>365.82</v>
      </c>
      <c r="L46" s="21" t="n">
        <v>2429.83</v>
      </c>
      <c r="M46" s="10" t="n">
        <v>17.72</v>
      </c>
      <c r="N46" s="22" t="n">
        <f aca="false">I46*F46</f>
        <v>2064.01</v>
      </c>
      <c r="O46" s="12" t="n">
        <f aca="false">N46/$N$61</f>
        <v>0.00162615818423172</v>
      </c>
    </row>
    <row r="47" customFormat="false" ht="16.5" hidden="false" customHeight="true" outlineLevel="0" collapsed="false">
      <c r="A47" s="13" t="s">
        <v>121</v>
      </c>
      <c r="B47" s="14" t="s">
        <v>122</v>
      </c>
      <c r="C47" s="15" t="s">
        <v>62</v>
      </c>
      <c r="D47" s="15" t="s">
        <v>77</v>
      </c>
      <c r="E47" s="15" t="s">
        <v>21</v>
      </c>
      <c r="F47" s="16" t="n">
        <v>8</v>
      </c>
      <c r="G47" s="14" t="s">
        <v>22</v>
      </c>
      <c r="H47" s="17" t="n">
        <v>220.93</v>
      </c>
      <c r="I47" s="17" t="n">
        <v>257.44</v>
      </c>
      <c r="J47" s="17" t="n">
        <v>-10.1</v>
      </c>
      <c r="K47" s="17" t="n">
        <v>-292.08</v>
      </c>
      <c r="L47" s="17" t="n">
        <v>1767.44</v>
      </c>
      <c r="M47" s="18" t="n">
        <v>-14.18</v>
      </c>
      <c r="N47" s="19" t="n">
        <f aca="false">I47*F47</f>
        <v>2059.52</v>
      </c>
      <c r="O47" s="20" t="n">
        <f aca="false">N47/$N$61</f>
        <v>0.00162262067702623</v>
      </c>
    </row>
    <row r="48" customFormat="false" ht="16.5" hidden="false" customHeight="true" outlineLevel="0" collapsed="false">
      <c r="A48" s="5" t="s">
        <v>123</v>
      </c>
      <c r="B48" s="6" t="s">
        <v>124</v>
      </c>
      <c r="C48" s="7" t="s">
        <v>62</v>
      </c>
      <c r="D48" s="7" t="s">
        <v>38</v>
      </c>
      <c r="E48" s="7" t="s">
        <v>21</v>
      </c>
      <c r="F48" s="8" t="n">
        <v>40</v>
      </c>
      <c r="G48" s="6" t="s">
        <v>22</v>
      </c>
      <c r="H48" s="21" t="n">
        <v>50.68</v>
      </c>
      <c r="I48" s="21" t="n">
        <v>51.44</v>
      </c>
      <c r="J48" s="21" t="n">
        <v>0.16</v>
      </c>
      <c r="K48" s="21" t="n">
        <v>-30.4</v>
      </c>
      <c r="L48" s="21" t="n">
        <v>2027.2</v>
      </c>
      <c r="M48" s="10" t="n">
        <v>-1.48</v>
      </c>
      <c r="N48" s="22" t="n">
        <f aca="false">I48*F48</f>
        <v>2057.6</v>
      </c>
      <c r="O48" s="12" t="n">
        <f aca="false">N48/$N$61</f>
        <v>0.00162110797906754</v>
      </c>
    </row>
    <row r="49" customFormat="false" ht="16.5" hidden="false" customHeight="true" outlineLevel="0" collapsed="false">
      <c r="A49" s="13" t="s">
        <v>125</v>
      </c>
      <c r="B49" s="14" t="s">
        <v>126</v>
      </c>
      <c r="C49" s="15" t="s">
        <v>62</v>
      </c>
      <c r="D49" s="15" t="s">
        <v>38</v>
      </c>
      <c r="E49" s="15" t="s">
        <v>21</v>
      </c>
      <c r="F49" s="16" t="n">
        <v>9</v>
      </c>
      <c r="G49" s="14" t="s">
        <v>22</v>
      </c>
      <c r="H49" s="17" t="n">
        <v>203.44</v>
      </c>
      <c r="I49" s="17" t="n">
        <v>228.27</v>
      </c>
      <c r="J49" s="17" t="n">
        <v>1.09</v>
      </c>
      <c r="K49" s="17" t="n">
        <v>-223.47</v>
      </c>
      <c r="L49" s="17" t="n">
        <v>1830.96</v>
      </c>
      <c r="M49" s="18" t="n">
        <v>-10.88</v>
      </c>
      <c r="N49" s="19" t="n">
        <f aca="false">I49*F49</f>
        <v>2054.43</v>
      </c>
      <c r="O49" s="20" t="n">
        <f aca="false">N49/$N$61</f>
        <v>0.00161861045170865</v>
      </c>
    </row>
    <row r="50" customFormat="false" ht="16.5" hidden="false" customHeight="true" outlineLevel="0" collapsed="false">
      <c r="A50" s="5" t="s">
        <v>127</v>
      </c>
      <c r="B50" s="6" t="s">
        <v>128</v>
      </c>
      <c r="C50" s="7" t="s">
        <v>62</v>
      </c>
      <c r="D50" s="7" t="s">
        <v>38</v>
      </c>
      <c r="E50" s="7" t="s">
        <v>21</v>
      </c>
      <c r="F50" s="8" t="n">
        <v>20</v>
      </c>
      <c r="G50" s="6" t="s">
        <v>22</v>
      </c>
      <c r="H50" s="21" t="n">
        <v>122.69</v>
      </c>
      <c r="I50" s="21" t="n">
        <v>102.42</v>
      </c>
      <c r="J50" s="21" t="n">
        <v>1.65</v>
      </c>
      <c r="K50" s="21" t="n">
        <v>405.4</v>
      </c>
      <c r="L50" s="21" t="n">
        <v>2453.8</v>
      </c>
      <c r="M50" s="10" t="n">
        <v>19.79</v>
      </c>
      <c r="N50" s="22" t="n">
        <f aca="false">I50*F50</f>
        <v>2048.4</v>
      </c>
      <c r="O50" s="12" t="n">
        <f aca="false">N50/$N$61</f>
        <v>0.00161385963468213</v>
      </c>
    </row>
    <row r="51" customFormat="false" ht="16.5" hidden="false" customHeight="true" outlineLevel="0" collapsed="false">
      <c r="A51" s="13" t="s">
        <v>129</v>
      </c>
      <c r="B51" s="14" t="s">
        <v>130</v>
      </c>
      <c r="C51" s="15" t="s">
        <v>62</v>
      </c>
      <c r="D51" s="15" t="s">
        <v>38</v>
      </c>
      <c r="E51" s="15" t="s">
        <v>21</v>
      </c>
      <c r="F51" s="16" t="n">
        <v>18</v>
      </c>
      <c r="G51" s="14" t="s">
        <v>22</v>
      </c>
      <c r="H51" s="17" t="n">
        <v>170.89</v>
      </c>
      <c r="I51" s="17" t="n">
        <v>112.45</v>
      </c>
      <c r="J51" s="17" t="n">
        <v>0.95</v>
      </c>
      <c r="K51" s="17" t="n">
        <v>1051.92</v>
      </c>
      <c r="L51" s="17" t="n">
        <v>3076.02</v>
      </c>
      <c r="M51" s="18" t="n">
        <v>51.97</v>
      </c>
      <c r="N51" s="19" t="n">
        <f aca="false">I51*F51</f>
        <v>2024.1</v>
      </c>
      <c r="O51" s="20" t="n">
        <f aca="false">N51/$N$61</f>
        <v>0.0015947145511424</v>
      </c>
    </row>
    <row r="52" customFormat="false" ht="16.5" hidden="false" customHeight="true" outlineLevel="0" collapsed="false">
      <c r="A52" s="5" t="s">
        <v>131</v>
      </c>
      <c r="B52" s="6" t="s">
        <v>132</v>
      </c>
      <c r="C52" s="7" t="s">
        <v>62</v>
      </c>
      <c r="D52" s="7" t="s">
        <v>38</v>
      </c>
      <c r="E52" s="7" t="s">
        <v>21</v>
      </c>
      <c r="F52" s="8" t="n">
        <v>4</v>
      </c>
      <c r="G52" s="6" t="s">
        <v>22</v>
      </c>
      <c r="H52" s="21" t="n">
        <v>492.85</v>
      </c>
      <c r="I52" s="21" t="n">
        <v>492.49</v>
      </c>
      <c r="J52" s="21" t="n">
        <v>-0.75</v>
      </c>
      <c r="K52" s="21" t="n">
        <v>1.44</v>
      </c>
      <c r="L52" s="21" t="n">
        <v>1971.4</v>
      </c>
      <c r="M52" s="10" t="n">
        <v>0.07</v>
      </c>
      <c r="N52" s="22" t="n">
        <f aca="false">I52*F52</f>
        <v>1969.96</v>
      </c>
      <c r="O52" s="12" t="n">
        <f aca="false">N52/$N$61</f>
        <v>0.0015520596201613</v>
      </c>
    </row>
    <row r="53" customFormat="false" ht="16.5" hidden="false" customHeight="true" outlineLevel="0" collapsed="false">
      <c r="A53" s="13" t="s">
        <v>133</v>
      </c>
      <c r="B53" s="14" t="s">
        <v>134</v>
      </c>
      <c r="C53" s="15" t="s">
        <v>62</v>
      </c>
      <c r="D53" s="15" t="s">
        <v>38</v>
      </c>
      <c r="E53" s="15" t="s">
        <v>21</v>
      </c>
      <c r="F53" s="16" t="n">
        <v>15</v>
      </c>
      <c r="G53" s="14" t="s">
        <v>22</v>
      </c>
      <c r="H53" s="17" t="n">
        <v>170.35</v>
      </c>
      <c r="I53" s="17" t="n">
        <v>130.1</v>
      </c>
      <c r="J53" s="17" t="n">
        <v>0.8</v>
      </c>
      <c r="K53" s="17" t="n">
        <v>603.75</v>
      </c>
      <c r="L53" s="17" t="n">
        <v>2555.25</v>
      </c>
      <c r="M53" s="18" t="n">
        <v>30.94</v>
      </c>
      <c r="N53" s="19" t="n">
        <f aca="false">I53*F53</f>
        <v>1951.5</v>
      </c>
      <c r="O53" s="20" t="n">
        <f aca="false">N53/$N$61</f>
        <v>0.00153751565957927</v>
      </c>
    </row>
    <row r="54" customFormat="false" ht="16.5" hidden="false" customHeight="true" outlineLevel="0" collapsed="false">
      <c r="A54" s="5" t="s">
        <v>135</v>
      </c>
      <c r="B54" s="6" t="s">
        <v>136</v>
      </c>
      <c r="C54" s="7" t="s">
        <v>62</v>
      </c>
      <c r="D54" s="7" t="s">
        <v>77</v>
      </c>
      <c r="E54" s="7" t="s">
        <v>21</v>
      </c>
      <c r="F54" s="8" t="n">
        <v>8</v>
      </c>
      <c r="G54" s="6" t="s">
        <v>22</v>
      </c>
      <c r="H54" s="21" t="n">
        <v>235.16</v>
      </c>
      <c r="I54" s="21" t="n">
        <v>243</v>
      </c>
      <c r="J54" s="21" t="n">
        <v>-12.07</v>
      </c>
      <c r="K54" s="21" t="n">
        <v>-62.72</v>
      </c>
      <c r="L54" s="21" t="n">
        <v>1881.28</v>
      </c>
      <c r="M54" s="10" t="n">
        <v>-3.23</v>
      </c>
      <c r="N54" s="22" t="n">
        <f aca="false">I54*F54</f>
        <v>1944</v>
      </c>
      <c r="O54" s="12" t="n">
        <f aca="false">N54/$N$61</f>
        <v>0.00153160668317812</v>
      </c>
    </row>
    <row r="55" customFormat="false" ht="16.5" hidden="false" customHeight="true" outlineLevel="0" collapsed="false">
      <c r="A55" s="13" t="s">
        <v>137</v>
      </c>
      <c r="B55" s="14" t="s">
        <v>138</v>
      </c>
      <c r="C55" s="15" t="s">
        <v>62</v>
      </c>
      <c r="D55" s="15" t="s">
        <v>38</v>
      </c>
      <c r="E55" s="15" t="s">
        <v>21</v>
      </c>
      <c r="F55" s="16" t="n">
        <v>85</v>
      </c>
      <c r="G55" s="14" t="s">
        <v>22</v>
      </c>
      <c r="H55" s="17" t="n">
        <v>28.43</v>
      </c>
      <c r="I55" s="17" t="n">
        <v>22.49</v>
      </c>
      <c r="J55" s="17" t="n">
        <v>-0.1</v>
      </c>
      <c r="K55" s="17" t="n">
        <v>504.9</v>
      </c>
      <c r="L55" s="17" t="n">
        <v>2416.55</v>
      </c>
      <c r="M55" s="18" t="n">
        <v>26.41</v>
      </c>
      <c r="N55" s="19" t="n">
        <f aca="false">I55*F55</f>
        <v>1911.65</v>
      </c>
      <c r="O55" s="20" t="n">
        <f aca="false">N55/$N$61</f>
        <v>0.00150611929830116</v>
      </c>
    </row>
    <row r="56" customFormat="false" ht="16.5" hidden="false" customHeight="true" outlineLevel="0" collapsed="false">
      <c r="A56" s="5" t="s">
        <v>139</v>
      </c>
      <c r="B56" s="6" t="s">
        <v>140</v>
      </c>
      <c r="C56" s="7" t="s">
        <v>62</v>
      </c>
      <c r="D56" s="7" t="s">
        <v>38</v>
      </c>
      <c r="E56" s="7" t="s">
        <v>21</v>
      </c>
      <c r="F56" s="8" t="n">
        <v>25</v>
      </c>
      <c r="G56" s="6" t="s">
        <v>22</v>
      </c>
      <c r="H56" s="21" t="n">
        <v>74.97</v>
      </c>
      <c r="I56" s="21" t="n">
        <v>75.82</v>
      </c>
      <c r="J56" s="21" t="n">
        <v>0.14</v>
      </c>
      <c r="K56" s="21" t="n">
        <v>-21.25</v>
      </c>
      <c r="L56" s="21" t="n">
        <v>1874.25</v>
      </c>
      <c r="M56" s="10" t="n">
        <v>-1.12</v>
      </c>
      <c r="N56" s="22" t="n">
        <f aca="false">I56*F56</f>
        <v>1895.5</v>
      </c>
      <c r="O56" s="12" t="n">
        <f aca="false">N56/$N$61</f>
        <v>0.00149339530245068</v>
      </c>
    </row>
    <row r="57" customFormat="false" ht="16.5" hidden="false" customHeight="true" outlineLevel="0" collapsed="false">
      <c r="A57" s="13" t="s">
        <v>141</v>
      </c>
      <c r="B57" s="14" t="s">
        <v>142</v>
      </c>
      <c r="C57" s="15" t="s">
        <v>62</v>
      </c>
      <c r="D57" s="15" t="s">
        <v>92</v>
      </c>
      <c r="E57" s="15" t="s">
        <v>21</v>
      </c>
      <c r="F57" s="16" t="n">
        <v>20</v>
      </c>
      <c r="G57" s="14" t="s">
        <v>22</v>
      </c>
      <c r="H57" s="17" t="n">
        <v>117.83</v>
      </c>
      <c r="I57" s="17" t="n">
        <v>89.39</v>
      </c>
      <c r="J57" s="17" t="n">
        <v>-0.79</v>
      </c>
      <c r="K57" s="17" t="n">
        <v>568.8</v>
      </c>
      <c r="L57" s="17" t="n">
        <v>2356.6</v>
      </c>
      <c r="M57" s="18" t="n">
        <v>31.82</v>
      </c>
      <c r="N57" s="19" t="n">
        <f aca="false">I57*F57</f>
        <v>1787.8</v>
      </c>
      <c r="O57" s="20" t="n">
        <f aca="false">N57/$N$61</f>
        <v>0.00140854240133016</v>
      </c>
    </row>
    <row r="58" customFormat="false" ht="16.5" hidden="false" customHeight="true" outlineLevel="0" collapsed="false">
      <c r="A58" s="5" t="s">
        <v>143</v>
      </c>
      <c r="B58" s="6" t="s">
        <v>118</v>
      </c>
      <c r="C58" s="7" t="s">
        <v>144</v>
      </c>
      <c r="D58" s="7" t="s">
        <v>38</v>
      </c>
      <c r="E58" s="7" t="s">
        <v>21</v>
      </c>
      <c r="F58" s="8" t="n">
        <v>10</v>
      </c>
      <c r="G58" s="6" t="s">
        <v>22</v>
      </c>
      <c r="H58" s="21" t="n">
        <v>20.11</v>
      </c>
      <c r="I58" s="21" t="n">
        <v>25.4</v>
      </c>
      <c r="J58" s="21" t="n">
        <v>1.96</v>
      </c>
      <c r="K58" s="21" t="n">
        <v>-5290</v>
      </c>
      <c r="L58" s="21" t="n">
        <v>20110</v>
      </c>
      <c r="M58" s="10" t="n">
        <v>-20.83</v>
      </c>
      <c r="N58" s="22" t="n">
        <f aca="false">I58*F58</f>
        <v>254</v>
      </c>
      <c r="O58" s="12" t="n">
        <f aca="false">N58/$N$61</f>
        <v>0.000200117334118951</v>
      </c>
    </row>
    <row r="59" customFormat="false" ht="16.5" hidden="false" customHeight="true" outlineLevel="0" collapsed="false">
      <c r="A59" s="13" t="s">
        <v>145</v>
      </c>
      <c r="B59" s="14" t="s">
        <v>146</v>
      </c>
      <c r="C59" s="15" t="s">
        <v>144</v>
      </c>
      <c r="D59" s="15" t="s">
        <v>63</v>
      </c>
      <c r="E59" s="15" t="s">
        <v>21</v>
      </c>
      <c r="F59" s="16" t="n">
        <v>25</v>
      </c>
      <c r="G59" s="14" t="s">
        <v>22</v>
      </c>
      <c r="H59" s="17" t="n">
        <v>2.91</v>
      </c>
      <c r="I59" s="17" t="n">
        <v>5.45</v>
      </c>
      <c r="J59" s="17" t="n">
        <v>0</v>
      </c>
      <c r="K59" s="17" t="n">
        <v>-6350</v>
      </c>
      <c r="L59" s="17" t="n">
        <v>7275</v>
      </c>
      <c r="M59" s="18" t="n">
        <v>-46.61</v>
      </c>
      <c r="N59" s="19" t="n">
        <f aca="false">I59*F59</f>
        <v>136.25</v>
      </c>
      <c r="O59" s="20" t="n">
        <f aca="false">N59/$N$61</f>
        <v>0.000107346404620894</v>
      </c>
    </row>
    <row r="60" customFormat="false" ht="16.5" hidden="false" customHeight="true" outlineLevel="0" collapsed="false">
      <c r="A60" s="23" t="s">
        <v>147</v>
      </c>
      <c r="B60" s="24" t="s">
        <v>148</v>
      </c>
      <c r="C60" s="25" t="s">
        <v>25</v>
      </c>
      <c r="D60" s="25" t="s">
        <v>77</v>
      </c>
      <c r="E60" s="25" t="s">
        <v>52</v>
      </c>
      <c r="F60" s="26" t="n">
        <v>-40</v>
      </c>
      <c r="G60" s="24" t="s">
        <v>22</v>
      </c>
      <c r="H60" s="27" t="n">
        <v>511.06</v>
      </c>
      <c r="I60" s="27" t="n">
        <v>489.37</v>
      </c>
      <c r="J60" s="27" t="n">
        <v>19.23</v>
      </c>
      <c r="K60" s="27" t="n">
        <v>-867.6</v>
      </c>
      <c r="L60" s="27" t="n">
        <v>20442.4</v>
      </c>
      <c r="M60" s="28" t="n">
        <v>-4.43</v>
      </c>
      <c r="N60" s="29" t="n">
        <f aca="false">I60*F60</f>
        <v>-19574.8</v>
      </c>
      <c r="O60" s="30" t="n">
        <f aca="false">N60/$N$61</f>
        <v>-0.0154222708342978</v>
      </c>
    </row>
    <row r="61" customFormat="false" ht="15" hidden="false" customHeight="false" outlineLevel="0" collapsed="false">
      <c r="A61" s="31" t="s">
        <v>149</v>
      </c>
      <c r="B61" s="32"/>
      <c r="C61" s="32"/>
      <c r="D61" s="32"/>
      <c r="E61" s="32"/>
      <c r="F61" s="32"/>
      <c r="G61" s="32"/>
      <c r="H61" s="32"/>
      <c r="I61" s="32"/>
      <c r="J61" s="32"/>
      <c r="K61" s="33" t="n">
        <f aca="false">SUM(K6:K60)</f>
        <v>87210.94</v>
      </c>
      <c r="L61" s="33" t="n">
        <f aca="false">SUM(L6:L60)</f>
        <v>1435985.8547</v>
      </c>
      <c r="M61" s="32"/>
      <c r="N61" s="33" t="n">
        <f aca="false">SUM(N6:N60)</f>
        <v>1269255.3652</v>
      </c>
      <c r="O61" s="34" t="n">
        <f aca="false">SUM(O6:O60)</f>
        <v>1</v>
      </c>
    </row>
  </sheetData>
  <autoFilter ref="A5:O60"/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7" min="6" style="0" width="14"/>
  </cols>
  <sheetData>
    <row r="1" customFormat="false" ht="24" hidden="false" customHeight="true" outlineLevel="0" collapsed="false">
      <c r="A1" s="1" t="s">
        <v>150</v>
      </c>
    </row>
    <row r="2" customFormat="false" ht="15" hidden="false" customHeight="false" outlineLevel="0" collapsed="false">
      <c r="A2" s="2" t="s">
        <v>151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35" t="s">
        <v>152</v>
      </c>
    </row>
    <row r="6" customFormat="false" ht="30" hidden="false" customHeight="true" outlineLevel="0" collapsed="false">
      <c r="A6" s="4" t="s">
        <v>3</v>
      </c>
      <c r="B6" s="4" t="s">
        <v>4</v>
      </c>
      <c r="C6" s="4" t="s">
        <v>8</v>
      </c>
      <c r="D6" s="4" t="s">
        <v>10</v>
      </c>
      <c r="E6" s="4" t="s">
        <v>153</v>
      </c>
      <c r="F6" s="4" t="s">
        <v>154</v>
      </c>
      <c r="G6" s="4" t="s">
        <v>155</v>
      </c>
    </row>
    <row r="7" customFormat="false" ht="15" hidden="false" customHeight="false" outlineLevel="0" collapsed="false">
      <c r="A7" s="36" t="str">
        <f aca="false">OpenPosition_10_28_2026!A16</f>
        <v>TNA</v>
      </c>
      <c r="B7" s="37" t="str">
        <f aca="false">OpenPosition_10_28_2026!B16</f>
        <v>Direxion Shares ETF Trust - Direxion Daily Small Cap Bull 3X Shares</v>
      </c>
      <c r="C7" s="38" t="n">
        <f aca="false">OpenPosition_10_28_2026!F16</f>
        <v>1000</v>
      </c>
      <c r="D7" s="39" t="n">
        <f aca="false">OpenPosition_10_28_2026!H16</f>
        <v>58.34</v>
      </c>
      <c r="E7" s="40" t="n">
        <f aca="false">C7*D7</f>
        <v>58340</v>
      </c>
      <c r="F7" s="39" t="n">
        <f aca="false">OpenPosition_10_28_2026!N16</f>
        <v>40000</v>
      </c>
      <c r="G7" s="39" t="n">
        <f aca="false">OpenPosition_10_28_2026!K16</f>
        <v>18340</v>
      </c>
    </row>
    <row r="8" customFormat="false" ht="15" hidden="false" customHeight="false" outlineLevel="0" collapsed="false">
      <c r="A8" s="36" t="str">
        <f aca="false">OpenPosition_10_28_2026!A20</f>
        <v>UNH</v>
      </c>
      <c r="B8" s="37" t="str">
        <f aca="false">OpenPosition_10_28_2026!B20</f>
        <v>Unitedhealth Group Inc</v>
      </c>
      <c r="C8" s="38" t="n">
        <f aca="false">OpenPosition_10_28_2026!F20</f>
        <v>100</v>
      </c>
      <c r="D8" s="41" t="n">
        <f aca="false">OpenPosition_10_28_2026!H20</f>
        <v>410.39</v>
      </c>
      <c r="E8" s="29" t="n">
        <f aca="false">C8*D8</f>
        <v>41039</v>
      </c>
      <c r="F8" s="41" t="n">
        <f aca="false">OpenPosition_10_28_2026!N20</f>
        <v>30167</v>
      </c>
      <c r="G8" s="41" t="n">
        <f aca="false">OpenPosition_10_28_2026!K20</f>
        <v>10872</v>
      </c>
    </row>
    <row r="9" customFormat="false" ht="15" hidden="false" customHeight="false" outlineLevel="0" collapsed="false">
      <c r="A9" s="36" t="str">
        <f aca="false">OpenPosition_10_28_2026!A60</f>
        <v>SOXX</v>
      </c>
      <c r="B9" s="37" t="str">
        <f aca="false">OpenPosition_10_28_2026!B60</f>
        <v>BlackRock Institutional Trust Company N.A. - iShares Semiconductor ETF</v>
      </c>
      <c r="C9" s="38" t="n">
        <f aca="false">OpenPosition_10_28_2026!F60</f>
        <v>-40</v>
      </c>
      <c r="D9" s="41" t="n">
        <f aca="false">OpenPosition_10_28_2026!H60</f>
        <v>511.06</v>
      </c>
      <c r="E9" s="29" t="n">
        <f aca="false">C9*D9</f>
        <v>-20442.4</v>
      </c>
      <c r="F9" s="41" t="n">
        <f aca="false">OpenPosition_10_28_2026!N60</f>
        <v>-19574.8</v>
      </c>
      <c r="G9" s="41" t="n">
        <f aca="false">OpenPosition_10_28_2026!K60</f>
        <v>-867.6</v>
      </c>
    </row>
    <row r="10" customFormat="false" ht="15" hidden="false" customHeight="false" outlineLevel="0" collapsed="false">
      <c r="A10" s="31" t="s">
        <v>156</v>
      </c>
      <c r="B10" s="32"/>
      <c r="C10" s="32"/>
      <c r="D10" s="32"/>
      <c r="E10" s="33" t="n">
        <f aca="false">SUM(E7:E9)</f>
        <v>78936.6</v>
      </c>
      <c r="F10" s="33" t="n">
        <f aca="false">SUM(F7:F9)</f>
        <v>50592.2</v>
      </c>
      <c r="G10" s="33" t="n">
        <f aca="false">SUM(G7:G9)</f>
        <v>28344.4</v>
      </c>
    </row>
    <row r="11" customFormat="false" ht="15" hidden="false" customHeight="false" outlineLevel="0" collapsed="false">
      <c r="A11" s="42" t="s">
        <v>157</v>
      </c>
    </row>
    <row r="13" customFormat="false" ht="15" hidden="false" customHeight="false" outlineLevel="0" collapsed="false">
      <c r="A13" s="35" t="s">
        <v>158</v>
      </c>
    </row>
    <row r="14" customFormat="false" ht="30" hidden="false" customHeight="true" outlineLevel="0" collapsed="false">
      <c r="A14" s="4" t="s">
        <v>159</v>
      </c>
      <c r="B14" s="4" t="s">
        <v>5</v>
      </c>
      <c r="C14" s="4" t="s">
        <v>6</v>
      </c>
      <c r="D14" s="4" t="s">
        <v>7</v>
      </c>
      <c r="E14" s="4" t="s">
        <v>160</v>
      </c>
      <c r="F14" s="4" t="s">
        <v>161</v>
      </c>
    </row>
    <row r="15" customFormat="false" ht="15" hidden="false" customHeight="false" outlineLevel="0" collapsed="false">
      <c r="A15" s="5" t="s">
        <v>162</v>
      </c>
      <c r="B15" s="7" t="s">
        <v>163</v>
      </c>
      <c r="C15" s="7" t="s">
        <v>44</v>
      </c>
      <c r="D15" s="7" t="s">
        <v>164</v>
      </c>
      <c r="E15" s="43" t="n">
        <v>30000</v>
      </c>
      <c r="F15" s="12" t="n">
        <f aca="false">E15/$E$22</f>
        <v>0.166666666666667</v>
      </c>
    </row>
    <row r="16" customFormat="false" ht="15" hidden="false" customHeight="false" outlineLevel="0" collapsed="false">
      <c r="A16" s="13" t="s">
        <v>165</v>
      </c>
      <c r="B16" s="15" t="s">
        <v>163</v>
      </c>
      <c r="C16" s="15" t="s">
        <v>77</v>
      </c>
      <c r="D16" s="15" t="s">
        <v>166</v>
      </c>
      <c r="E16" s="16" t="n">
        <v>30000</v>
      </c>
      <c r="F16" s="20" t="n">
        <f aca="false">E16/$E$22</f>
        <v>0.166666666666667</v>
      </c>
    </row>
    <row r="17" customFormat="false" ht="15" hidden="false" customHeight="false" outlineLevel="0" collapsed="false">
      <c r="A17" s="5" t="s">
        <v>44</v>
      </c>
      <c r="B17" s="7" t="s">
        <v>25</v>
      </c>
      <c r="C17" s="7" t="s">
        <v>44</v>
      </c>
      <c r="D17" s="7" t="s">
        <v>164</v>
      </c>
      <c r="E17" s="8" t="n">
        <v>30000</v>
      </c>
      <c r="F17" s="12" t="n">
        <f aca="false">E17/$E$22</f>
        <v>0.166666666666667</v>
      </c>
    </row>
    <row r="18" customFormat="false" ht="15" hidden="false" customHeight="false" outlineLevel="0" collapsed="false">
      <c r="A18" s="13" t="s">
        <v>68</v>
      </c>
      <c r="B18" s="15" t="s">
        <v>25</v>
      </c>
      <c r="C18" s="15" t="s">
        <v>68</v>
      </c>
      <c r="D18" s="15" t="s">
        <v>164</v>
      </c>
      <c r="E18" s="16" t="n">
        <v>15000</v>
      </c>
      <c r="F18" s="20" t="n">
        <f aca="false">E18/$E$22</f>
        <v>0.0833333333333333</v>
      </c>
    </row>
    <row r="19" customFormat="false" ht="15" hidden="false" customHeight="false" outlineLevel="0" collapsed="false">
      <c r="A19" s="5" t="s">
        <v>167</v>
      </c>
      <c r="B19" s="7" t="s">
        <v>25</v>
      </c>
      <c r="C19" s="7" t="s">
        <v>167</v>
      </c>
      <c r="D19" s="7" t="s">
        <v>164</v>
      </c>
      <c r="E19" s="8" t="n">
        <v>30000</v>
      </c>
      <c r="F19" s="12" t="n">
        <f aca="false">E19/$E$22</f>
        <v>0.166666666666667</v>
      </c>
    </row>
    <row r="20" customFormat="false" ht="15" hidden="false" customHeight="false" outlineLevel="0" collapsed="false">
      <c r="A20" s="13" t="s">
        <v>168</v>
      </c>
      <c r="B20" s="15" t="s">
        <v>25</v>
      </c>
      <c r="C20" s="15" t="s">
        <v>38</v>
      </c>
      <c r="D20" s="15" t="s">
        <v>164</v>
      </c>
      <c r="E20" s="16" t="n">
        <v>20000</v>
      </c>
      <c r="F20" s="20" t="n">
        <f aca="false">E20/$E$22</f>
        <v>0.111111111111111</v>
      </c>
    </row>
    <row r="21" customFormat="false" ht="15" hidden="false" customHeight="false" outlineLevel="0" collapsed="false">
      <c r="A21" s="5" t="s">
        <v>169</v>
      </c>
      <c r="B21" s="7" t="s">
        <v>25</v>
      </c>
      <c r="C21" s="7" t="s">
        <v>63</v>
      </c>
      <c r="D21" s="7" t="s">
        <v>164</v>
      </c>
      <c r="E21" s="8" t="n">
        <v>25000</v>
      </c>
      <c r="F21" s="12" t="n">
        <f aca="false">E21/$E$22</f>
        <v>0.138888888888889</v>
      </c>
    </row>
    <row r="22" customFormat="false" ht="15" hidden="false" customHeight="false" outlineLevel="0" collapsed="false">
      <c r="A22" s="31" t="s">
        <v>170</v>
      </c>
      <c r="B22" s="32"/>
      <c r="C22" s="32"/>
      <c r="D22" s="32"/>
      <c r="E22" s="44" t="n">
        <f aca="false">SUM(E15:E21)</f>
        <v>180000</v>
      </c>
      <c r="F22" s="34" t="n">
        <f aca="false">SUM(F15:F21)</f>
        <v>1</v>
      </c>
      <c r="G22" s="32"/>
    </row>
    <row r="23" customFormat="false" ht="15" hidden="false" customHeight="false" outlineLevel="0" collapsed="false">
      <c r="A23" s="42" t="s">
        <v>171</v>
      </c>
    </row>
    <row r="25" customFormat="false" ht="15" hidden="false" customHeight="false" outlineLevel="0" collapsed="false">
      <c r="A25" s="35" t="s">
        <v>172</v>
      </c>
    </row>
    <row r="26" customFormat="false" ht="30" hidden="false" customHeight="true" outlineLevel="0" collapsed="false">
      <c r="A26" s="45" t="s">
        <v>173</v>
      </c>
      <c r="B26" s="45"/>
      <c r="C26" s="45"/>
      <c r="D26" s="45"/>
      <c r="E26" s="4" t="s">
        <v>160</v>
      </c>
    </row>
    <row r="27" customFormat="false" ht="15" hidden="false" customHeight="false" outlineLevel="0" collapsed="false">
      <c r="A27" s="46" t="s">
        <v>174</v>
      </c>
      <c r="B27" s="47"/>
      <c r="C27" s="47"/>
      <c r="D27" s="47"/>
      <c r="E27" s="43" t="n">
        <v>180000</v>
      </c>
    </row>
    <row r="28" customFormat="false" ht="15" hidden="false" customHeight="false" outlineLevel="0" collapsed="false">
      <c r="A28" s="46" t="s">
        <v>170</v>
      </c>
      <c r="B28" s="47"/>
      <c r="C28" s="47"/>
      <c r="D28" s="47"/>
      <c r="E28" s="48" t="n">
        <f aca="false">E22</f>
        <v>180000</v>
      </c>
    </row>
    <row r="29" customFormat="false" ht="15" hidden="false" customHeight="false" outlineLevel="0" collapsed="false">
      <c r="A29" s="49" t="s">
        <v>175</v>
      </c>
      <c r="B29" s="47"/>
      <c r="C29" s="47"/>
      <c r="D29" s="47"/>
      <c r="E29" s="50" t="n">
        <f aca="false">E28-E27</f>
        <v>0</v>
      </c>
    </row>
    <row r="30" customFormat="false" ht="15" hidden="false" customHeight="false" outlineLevel="0" collapsed="false">
      <c r="A30" s="46" t="s">
        <v>176</v>
      </c>
      <c r="B30" s="47"/>
      <c r="C30" s="47"/>
      <c r="D30" s="47"/>
      <c r="E30" s="48" t="n">
        <f aca="false">E10</f>
        <v>78936.6</v>
      </c>
    </row>
    <row r="31" customFormat="false" ht="15" hidden="false" customHeight="false" outlineLevel="0" collapsed="false">
      <c r="A31" s="46" t="s">
        <v>177</v>
      </c>
      <c r="B31" s="47"/>
      <c r="C31" s="47"/>
      <c r="D31" s="47"/>
      <c r="E31" s="48" t="n">
        <f aca="false">E28-E30</f>
        <v>101063.4</v>
      </c>
    </row>
  </sheetData>
  <mergeCells count="1">
    <mergeCell ref="A26:D26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C9C"/>
    <pageSetUpPr fitToPage="tru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24" hidden="false" customHeight="true" outlineLevel="0" collapsed="false">
      <c r="A1" s="1" t="s">
        <v>178</v>
      </c>
    </row>
    <row r="2" customFormat="false" ht="15" hidden="false" customHeight="false" outlineLevel="0" collapsed="false">
      <c r="A2" s="2" t="s">
        <v>179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35" t="s">
        <v>180</v>
      </c>
    </row>
    <row r="6" customFormat="false" ht="30" hidden="false" customHeight="true" outlineLevel="0" collapsed="false">
      <c r="A6" s="4" t="s">
        <v>5</v>
      </c>
      <c r="B6" s="4" t="s">
        <v>181</v>
      </c>
      <c r="C6" s="4" t="s">
        <v>182</v>
      </c>
      <c r="D6" s="4" t="s">
        <v>183</v>
      </c>
      <c r="E6" s="4" t="s">
        <v>184</v>
      </c>
      <c r="F6" s="4" t="s">
        <v>185</v>
      </c>
      <c r="G6" s="4" t="s">
        <v>186</v>
      </c>
      <c r="H6" s="4" t="s">
        <v>187</v>
      </c>
    </row>
    <row r="7" customFormat="false" ht="15" hidden="false" customHeight="false" outlineLevel="0" collapsed="false">
      <c r="A7" s="49" t="s">
        <v>25</v>
      </c>
      <c r="B7" s="51" t="n">
        <f aca="false">SUMIFS(OpenPosition_10_28_2026!$L$6:$L$60,OpenPosition_10_28_2026!$C$6:$C$60,$A7)</f>
        <v>921563.04</v>
      </c>
      <c r="C7" s="12" t="n">
        <f aca="false">IFERROR(B7/B$14,0)</f>
        <v>0.641763313324928</v>
      </c>
      <c r="D7" s="51" t="n">
        <f aca="false">-SUMIFS(OpenPosition_10_28_2026!$L$6:$L$60,OpenPosition_10_28_2026!$C$6:$C$60,$A7,OpenPosition_10_28_2026!$E$6:$E$60,"Sold Oct-26")</f>
        <v>-20442.4</v>
      </c>
      <c r="E7" s="51" t="n">
        <f aca="false">SUMIFS('Rebalance Oct-26'!$E$15:$E$21,'Rebalance Oct-26'!$B$15:$B$21,$A7)</f>
        <v>120000</v>
      </c>
      <c r="F7" s="52" t="n">
        <f aca="false">B7+D7+E7</f>
        <v>1021120.64</v>
      </c>
      <c r="G7" s="12" t="n">
        <f aca="false">IFERROR(F7/F$14,0)</f>
        <v>0.682492246619205</v>
      </c>
      <c r="H7" s="53" t="n">
        <f aca="false">G7-C7</f>
        <v>0.040728933294277</v>
      </c>
    </row>
    <row r="8" customFormat="false" ht="15" hidden="false" customHeight="false" outlineLevel="0" collapsed="false">
      <c r="A8" s="54" t="s">
        <v>62</v>
      </c>
      <c r="B8" s="55" t="n">
        <f aca="false">SUMIFS(OpenPosition_10_28_2026!$L$6:$L$60,OpenPosition_10_28_2026!$C$6:$C$60,$A8)</f>
        <v>112684.34</v>
      </c>
      <c r="C8" s="20" t="n">
        <f aca="false">IFERROR(B8/B$14,0)</f>
        <v>0.0784717618430451</v>
      </c>
      <c r="D8" s="55" t="n">
        <f aca="false">-SUMIFS(OpenPosition_10_28_2026!$L$6:$L$60,OpenPosition_10_28_2026!$C$6:$C$60,$A8,OpenPosition_10_28_2026!$E$6:$E$60,"Sold Oct-26")</f>
        <v>-41039</v>
      </c>
      <c r="E8" s="55" t="n">
        <f aca="false">SUMIFS('Rebalance Oct-26'!$E$15:$E$21,'Rebalance Oct-26'!$B$15:$B$21,$A8)</f>
        <v>0</v>
      </c>
      <c r="F8" s="56" t="n">
        <f aca="false">B8+D8+E8</f>
        <v>71645.34</v>
      </c>
      <c r="G8" s="20" t="n">
        <f aca="false">IFERROR(F8/F$14,0)</f>
        <v>0.0478860059634058</v>
      </c>
      <c r="H8" s="57" t="n">
        <f aca="false">G8-C8</f>
        <v>-0.0305857558796393</v>
      </c>
    </row>
    <row r="9" customFormat="false" ht="15" hidden="false" customHeight="false" outlineLevel="0" collapsed="false">
      <c r="A9" s="49" t="s">
        <v>47</v>
      </c>
      <c r="B9" s="58" t="n">
        <f aca="false">SUMIFS(OpenPosition_10_28_2026!$L$6:$L$60,OpenPosition_10_28_2026!$C$6:$C$60,$A9)</f>
        <v>103692.9147</v>
      </c>
      <c r="C9" s="12" t="n">
        <f aca="false">IFERROR(B9/B$14,0)</f>
        <v>0.072210261933021</v>
      </c>
      <c r="D9" s="58" t="n">
        <f aca="false">-SUMIFS(OpenPosition_10_28_2026!$L$6:$L$60,OpenPosition_10_28_2026!$C$6:$C$60,$A9,OpenPosition_10_28_2026!$E$6:$E$60,"Sold Oct-26")</f>
        <v>-0</v>
      </c>
      <c r="E9" s="58" t="n">
        <f aca="false">SUMIFS('Rebalance Oct-26'!$E$15:$E$21,'Rebalance Oct-26'!$B$15:$B$21,$A9)</f>
        <v>0</v>
      </c>
      <c r="F9" s="48" t="n">
        <f aca="false">B9+D9+E9</f>
        <v>103692.9147</v>
      </c>
      <c r="G9" s="12" t="n">
        <f aca="false">IFERROR(F9/F$14,0)</f>
        <v>0.0693058268923998</v>
      </c>
      <c r="H9" s="53" t="n">
        <f aca="false">G9-C9</f>
        <v>-0.00290443504062113</v>
      </c>
    </row>
    <row r="10" customFormat="false" ht="15" hidden="false" customHeight="false" outlineLevel="0" collapsed="false">
      <c r="A10" s="54" t="s">
        <v>20</v>
      </c>
      <c r="B10" s="55" t="n">
        <f aca="false">SUMIFS(OpenPosition_10_28_2026!$L$6:$L$60,OpenPosition_10_28_2026!$C$6:$C$60,$A10)</f>
        <v>171695.56</v>
      </c>
      <c r="C10" s="20" t="n">
        <f aca="false">IFERROR(B10/B$14,0)</f>
        <v>0.119566330989987</v>
      </c>
      <c r="D10" s="55" t="n">
        <f aca="false">-SUMIFS(OpenPosition_10_28_2026!$L$6:$L$60,OpenPosition_10_28_2026!$C$6:$C$60,$A10,OpenPosition_10_28_2026!$E$6:$E$60,"Sold Oct-26")</f>
        <v>-0</v>
      </c>
      <c r="E10" s="55" t="n">
        <f aca="false">SUMIFS('Rebalance Oct-26'!$E$15:$E$21,'Rebalance Oct-26'!$B$15:$B$21,$A10)</f>
        <v>0</v>
      </c>
      <c r="F10" s="56" t="n">
        <f aca="false">B10+D10+E10</f>
        <v>171695.56</v>
      </c>
      <c r="G10" s="20" t="n">
        <f aca="false">IFERROR(F10/F$14,0)</f>
        <v>0.114757144149924</v>
      </c>
      <c r="H10" s="57" t="n">
        <f aca="false">G10-C10</f>
        <v>-0.00480918684006353</v>
      </c>
    </row>
    <row r="11" customFormat="false" ht="15" hidden="false" customHeight="false" outlineLevel="0" collapsed="false">
      <c r="A11" s="49" t="s">
        <v>34</v>
      </c>
      <c r="B11" s="58" t="n">
        <f aca="false">SUMIFS(OpenPosition_10_28_2026!$L$6:$L$60,OpenPosition_10_28_2026!$C$6:$C$60,$A11)</f>
        <v>98965</v>
      </c>
      <c r="C11" s="12" t="n">
        <f aca="false">IFERROR(B11/B$14,0)</f>
        <v>0.0689178097932416</v>
      </c>
      <c r="D11" s="58" t="n">
        <f aca="false">-SUMIFS(OpenPosition_10_28_2026!$L$6:$L$60,OpenPosition_10_28_2026!$C$6:$C$60,$A11,OpenPosition_10_28_2026!$E$6:$E$60,"Sold Oct-26")</f>
        <v>-58340</v>
      </c>
      <c r="E11" s="58" t="n">
        <f aca="false">SUMIFS('Rebalance Oct-26'!$E$15:$E$21,'Rebalance Oct-26'!$B$15:$B$21,$A11)</f>
        <v>0</v>
      </c>
      <c r="F11" s="48" t="n">
        <f aca="false">B11+D11+E11</f>
        <v>40625</v>
      </c>
      <c r="G11" s="12" t="n">
        <f aca="false">IFERROR(F11/F$14,0)</f>
        <v>0.0271527637703075</v>
      </c>
      <c r="H11" s="53" t="n">
        <f aca="false">G11-C11</f>
        <v>-0.0417650460229341</v>
      </c>
    </row>
    <row r="12" customFormat="false" ht="15" hidden="false" customHeight="false" outlineLevel="0" collapsed="false">
      <c r="A12" s="54" t="s">
        <v>144</v>
      </c>
      <c r="B12" s="55" t="n">
        <f aca="false">SUMIFS(OpenPosition_10_28_2026!$L$6:$L$60,OpenPosition_10_28_2026!$C$6:$C$60,$A12)</f>
        <v>27385</v>
      </c>
      <c r="C12" s="20" t="n">
        <f aca="false">IFERROR(B12/B$14,0)</f>
        <v>0.0190705221157775</v>
      </c>
      <c r="D12" s="55" t="n">
        <f aca="false">-SUMIFS(OpenPosition_10_28_2026!$L$6:$L$60,OpenPosition_10_28_2026!$C$6:$C$60,$A12,OpenPosition_10_28_2026!$E$6:$E$60,"Sold Oct-26")</f>
        <v>-0</v>
      </c>
      <c r="E12" s="55" t="n">
        <f aca="false">SUMIFS('Rebalance Oct-26'!$E$15:$E$21,'Rebalance Oct-26'!$B$15:$B$21,$A12)</f>
        <v>0</v>
      </c>
      <c r="F12" s="56" t="n">
        <f aca="false">B12+D12+E12</f>
        <v>27385</v>
      </c>
      <c r="G12" s="20" t="n">
        <f aca="false">IFERROR(F12/F$14,0)</f>
        <v>0.0183034691901507</v>
      </c>
      <c r="H12" s="57" t="n">
        <f aca="false">G12-C12</f>
        <v>-0.000767052925626843</v>
      </c>
    </row>
    <row r="13" customFormat="false" ht="15" hidden="false" customHeight="false" outlineLevel="0" collapsed="false">
      <c r="A13" s="49" t="s">
        <v>163</v>
      </c>
      <c r="B13" s="58" t="n">
        <f aca="false">SUMIFS(OpenPosition_10_28_2026!$L$6:$L$60,OpenPosition_10_28_2026!$C$6:$C$60,$A13)</f>
        <v>0</v>
      </c>
      <c r="C13" s="12" t="n">
        <f aca="false">IFERROR(B13/B$14,0)</f>
        <v>0</v>
      </c>
      <c r="D13" s="58" t="n">
        <f aca="false">-SUMIFS(OpenPosition_10_28_2026!$L$6:$L$60,OpenPosition_10_28_2026!$C$6:$C$60,$A13,OpenPosition_10_28_2026!$E$6:$E$60,"Sold Oct-26")</f>
        <v>-0</v>
      </c>
      <c r="E13" s="58" t="n">
        <f aca="false">SUMIFS('Rebalance Oct-26'!$E$15:$E$21,'Rebalance Oct-26'!$B$15:$B$21,$A13)</f>
        <v>60000</v>
      </c>
      <c r="F13" s="48" t="n">
        <f aca="false">B13+D13+E13</f>
        <v>60000</v>
      </c>
      <c r="G13" s="12" t="n">
        <f aca="false">IFERROR(F13/F$14,0)</f>
        <v>0.040102543414608</v>
      </c>
      <c r="H13" s="53" t="n">
        <f aca="false">G13-C13</f>
        <v>0.040102543414608</v>
      </c>
    </row>
    <row r="14" customFormat="false" ht="15" hidden="false" customHeight="false" outlineLevel="0" collapsed="false">
      <c r="A14" s="31" t="s">
        <v>149</v>
      </c>
      <c r="B14" s="44" t="n">
        <f aca="false">SUM(B7:B13)</f>
        <v>1435985.8547</v>
      </c>
      <c r="C14" s="34" t="n">
        <f aca="false">SUM(C7:C13)</f>
        <v>1</v>
      </c>
      <c r="D14" s="44" t="n">
        <f aca="false">SUM(D7:D13)</f>
        <v>-119821.4</v>
      </c>
      <c r="E14" s="44" t="n">
        <f aca="false">SUM(E7:E13)</f>
        <v>180000</v>
      </c>
      <c r="F14" s="44" t="n">
        <f aca="false">SUM(F7:F13)</f>
        <v>1496164.4547</v>
      </c>
      <c r="G14" s="34" t="n">
        <f aca="false">SUM(G7:G13)</f>
        <v>1</v>
      </c>
      <c r="H14" s="59" t="n">
        <f aca="false">SUM(H7:H13)</f>
        <v>0</v>
      </c>
    </row>
    <row r="17" customFormat="false" ht="15" hidden="false" customHeight="false" outlineLevel="0" collapsed="false">
      <c r="A17" s="35" t="s">
        <v>188</v>
      </c>
    </row>
    <row r="18" customFormat="false" ht="30" hidden="false" customHeight="true" outlineLevel="0" collapsed="false">
      <c r="A18" s="4" t="s">
        <v>6</v>
      </c>
      <c r="B18" s="4" t="s">
        <v>181</v>
      </c>
      <c r="C18" s="4" t="s">
        <v>182</v>
      </c>
      <c r="D18" s="4" t="s">
        <v>183</v>
      </c>
      <c r="E18" s="4" t="s">
        <v>184</v>
      </c>
      <c r="F18" s="4" t="s">
        <v>185</v>
      </c>
      <c r="G18" s="4" t="s">
        <v>186</v>
      </c>
      <c r="H18" s="4" t="s">
        <v>187</v>
      </c>
    </row>
    <row r="19" customFormat="false" ht="15" hidden="false" customHeight="false" outlineLevel="0" collapsed="false">
      <c r="A19" s="49" t="s">
        <v>26</v>
      </c>
      <c r="B19" s="51" t="n">
        <f aca="false">SUMIFS(OpenPosition_10_28_2026!$L$6:$L$60,OpenPosition_10_28_2026!$D$6:$D$60,$A19)</f>
        <v>314964.5</v>
      </c>
      <c r="C19" s="12" t="n">
        <f aca="false">IFERROR(B19/B$35,0)</f>
        <v>0.219336770601965</v>
      </c>
      <c r="D19" s="51" t="n">
        <f aca="false">-SUMIFS(OpenPosition_10_28_2026!$L$6:$L$60,OpenPosition_10_28_2026!$D$6:$D$60,$A19,OpenPosition_10_28_2026!$E$6:$E$60,"Sold Oct-26")</f>
        <v>-0</v>
      </c>
      <c r="E19" s="51" t="n">
        <f aca="false">SUMIFS('Rebalance Oct-26'!$E$15:$E$21,'Rebalance Oct-26'!$C$15:$C$21,$A19)</f>
        <v>0</v>
      </c>
      <c r="F19" s="52" t="n">
        <f aca="false">B19+D19+E19</f>
        <v>314964.5</v>
      </c>
      <c r="G19" s="12" t="n">
        <f aca="false">IFERROR(F19/F$35,0)</f>
        <v>0.210514625588505</v>
      </c>
      <c r="H19" s="53" t="n">
        <f aca="false">G19-C19</f>
        <v>-0.00882214501345979</v>
      </c>
    </row>
    <row r="20" customFormat="false" ht="15" hidden="false" customHeight="false" outlineLevel="0" collapsed="false">
      <c r="A20" s="54" t="s">
        <v>29</v>
      </c>
      <c r="B20" s="55" t="n">
        <f aca="false">SUMIFS(OpenPosition_10_28_2026!$L$6:$L$60,OpenPosition_10_28_2026!$D$6:$D$60,$A20)</f>
        <v>217815.44</v>
      </c>
      <c r="C20" s="20" t="n">
        <f aca="false">IFERROR(B20/B$35,0)</f>
        <v>0.151683555438299</v>
      </c>
      <c r="D20" s="55" t="n">
        <f aca="false">-SUMIFS(OpenPosition_10_28_2026!$L$6:$L$60,OpenPosition_10_28_2026!$D$6:$D$60,$A20,OpenPosition_10_28_2026!$E$6:$E$60,"Sold Oct-26")</f>
        <v>-58340</v>
      </c>
      <c r="E20" s="55" t="n">
        <f aca="false">SUMIFS('Rebalance Oct-26'!$E$15:$E$21,'Rebalance Oct-26'!$C$15:$C$21,$A20)</f>
        <v>0</v>
      </c>
      <c r="F20" s="56" t="n">
        <f aca="false">B20+D20+E20</f>
        <v>159475.44</v>
      </c>
      <c r="G20" s="20" t="n">
        <f aca="false">IFERROR(F20/F$35,0)</f>
        <v>0.106589512602728</v>
      </c>
      <c r="H20" s="57" t="n">
        <f aca="false">G20-C20</f>
        <v>-0.0450940428355701</v>
      </c>
    </row>
    <row r="21" customFormat="false" ht="15" hidden="false" customHeight="false" outlineLevel="0" collapsed="false">
      <c r="A21" s="49" t="s">
        <v>55</v>
      </c>
      <c r="B21" s="58" t="n">
        <f aca="false">SUMIFS(OpenPosition_10_28_2026!$L$6:$L$60,OpenPosition_10_28_2026!$D$6:$D$60,$A21)</f>
        <v>117515</v>
      </c>
      <c r="C21" s="12" t="n">
        <f aca="false">IFERROR(B21/B$35,0)</f>
        <v>0.081835764339441</v>
      </c>
      <c r="D21" s="58" t="n">
        <f aca="false">-SUMIFS(OpenPosition_10_28_2026!$L$6:$L$60,OpenPosition_10_28_2026!$D$6:$D$60,$A21,OpenPosition_10_28_2026!$E$6:$E$60,"Sold Oct-26")</f>
        <v>-0</v>
      </c>
      <c r="E21" s="58" t="n">
        <f aca="false">SUMIFS('Rebalance Oct-26'!$E$15:$E$21,'Rebalance Oct-26'!$C$15:$C$21,$A21)</f>
        <v>0</v>
      </c>
      <c r="F21" s="48" t="n">
        <f aca="false">B21+D21+E21</f>
        <v>117515</v>
      </c>
      <c r="G21" s="12" t="n">
        <f aca="false">IFERROR(F21/F$35,0)</f>
        <v>0.0785441731561276</v>
      </c>
      <c r="H21" s="53" t="n">
        <f aca="false">G21-C21</f>
        <v>-0.00329159118331344</v>
      </c>
    </row>
    <row r="22" customFormat="false" ht="15" hidden="false" customHeight="false" outlineLevel="0" collapsed="false">
      <c r="A22" s="54" t="s">
        <v>77</v>
      </c>
      <c r="B22" s="55" t="n">
        <f aca="false">SUMIFS(OpenPosition_10_28_2026!$L$6:$L$60,OpenPosition_10_28_2026!$D$6:$D$60,$A22)</f>
        <v>63512.47</v>
      </c>
      <c r="C22" s="20" t="n">
        <f aca="false">IFERROR(B22/B$35,0)</f>
        <v>0.0442291752332538</v>
      </c>
      <c r="D22" s="55" t="n">
        <f aca="false">-SUMIFS(OpenPosition_10_28_2026!$L$6:$L$60,OpenPosition_10_28_2026!$D$6:$D$60,$A22,OpenPosition_10_28_2026!$E$6:$E$60,"Sold Oct-26")</f>
        <v>-20442.4</v>
      </c>
      <c r="E22" s="55" t="n">
        <f aca="false">SUMIFS('Rebalance Oct-26'!$E$15:$E$21,'Rebalance Oct-26'!$C$15:$C$21,$A22)</f>
        <v>30000</v>
      </c>
      <c r="F22" s="56" t="n">
        <f aca="false">B22+D22+E22</f>
        <v>73070.07</v>
      </c>
      <c r="G22" s="20" t="n">
        <f aca="false">IFERROR(F22/F$35,0)</f>
        <v>0.0488382609080574</v>
      </c>
      <c r="H22" s="57" t="n">
        <f aca="false">G22-C22</f>
        <v>0.0046090856748036</v>
      </c>
    </row>
    <row r="23" customFormat="false" ht="15" hidden="false" customHeight="false" outlineLevel="0" collapsed="false">
      <c r="A23" s="49" t="s">
        <v>38</v>
      </c>
      <c r="B23" s="58" t="n">
        <f aca="false">SUMIFS(OpenPosition_10_28_2026!$L$6:$L$60,OpenPosition_10_28_2026!$D$6:$D$60,$A23)</f>
        <v>149462.17</v>
      </c>
      <c r="C23" s="12" t="n">
        <f aca="false">IFERROR(B23/B$35,0)</f>
        <v>0.104083316357754</v>
      </c>
      <c r="D23" s="58" t="n">
        <f aca="false">-SUMIFS(OpenPosition_10_28_2026!$L$6:$L$60,OpenPosition_10_28_2026!$D$6:$D$60,$A23,OpenPosition_10_28_2026!$E$6:$E$60,"Sold Oct-26")</f>
        <v>-0</v>
      </c>
      <c r="E23" s="58" t="n">
        <f aca="false">SUMIFS('Rebalance Oct-26'!$E$15:$E$21,'Rebalance Oct-26'!$C$15:$C$21,$A23)</f>
        <v>20000</v>
      </c>
      <c r="F23" s="48" t="n">
        <f aca="false">B23+D23+E23</f>
        <v>169462.17</v>
      </c>
      <c r="G23" s="12" t="n">
        <f aca="false">IFERROR(F23/F$35,0)</f>
        <v>0.113264400492645</v>
      </c>
      <c r="H23" s="53" t="n">
        <f aca="false">G23-C23</f>
        <v>0.00918108413489049</v>
      </c>
    </row>
    <row r="24" customFormat="false" ht="15" hidden="false" customHeight="false" outlineLevel="0" collapsed="false">
      <c r="A24" s="54" t="s">
        <v>44</v>
      </c>
      <c r="B24" s="55" t="n">
        <f aca="false">SUMIFS(OpenPosition_10_28_2026!$L$6:$L$60,OpenPosition_10_28_2026!$D$6:$D$60,$A24)</f>
        <v>91529.8</v>
      </c>
      <c r="C24" s="20" t="n">
        <f aca="false">IFERROR(B24/B$35,0)</f>
        <v>0.0637400429122765</v>
      </c>
      <c r="D24" s="55" t="n">
        <f aca="false">-SUMIFS(OpenPosition_10_28_2026!$L$6:$L$60,OpenPosition_10_28_2026!$D$6:$D$60,$A24,OpenPosition_10_28_2026!$E$6:$E$60,"Sold Oct-26")</f>
        <v>-0</v>
      </c>
      <c r="E24" s="55" t="n">
        <f aca="false">SUMIFS('Rebalance Oct-26'!$E$15:$E$21,'Rebalance Oct-26'!$C$15:$C$21,$A24)</f>
        <v>60000</v>
      </c>
      <c r="F24" s="56" t="n">
        <f aca="false">B24+D24+E24</f>
        <v>151529.8</v>
      </c>
      <c r="G24" s="20" t="n">
        <f aca="false">IFERROR(F24/F$35,0)</f>
        <v>0.101278839718448</v>
      </c>
      <c r="H24" s="57" t="n">
        <f aca="false">G24-C24</f>
        <v>0.0375387968061712</v>
      </c>
    </row>
    <row r="25" customFormat="false" ht="15" hidden="false" customHeight="false" outlineLevel="0" collapsed="false">
      <c r="A25" s="49" t="s">
        <v>63</v>
      </c>
      <c r="B25" s="58" t="n">
        <f aca="false">SUMIFS(OpenPosition_10_28_2026!$L$6:$L$60,OpenPosition_10_28_2026!$D$6:$D$60,$A25)</f>
        <v>48314</v>
      </c>
      <c r="C25" s="12" t="n">
        <f aca="false">IFERROR(B25/B$35,0)</f>
        <v>0.0336451782180637</v>
      </c>
      <c r="D25" s="58" t="n">
        <f aca="false">-SUMIFS(OpenPosition_10_28_2026!$L$6:$L$60,OpenPosition_10_28_2026!$D$6:$D$60,$A25,OpenPosition_10_28_2026!$E$6:$E$60,"Sold Oct-26")</f>
        <v>-41039</v>
      </c>
      <c r="E25" s="58" t="n">
        <f aca="false">SUMIFS('Rebalance Oct-26'!$E$15:$E$21,'Rebalance Oct-26'!$C$15:$C$21,$A25)</f>
        <v>25000</v>
      </c>
      <c r="F25" s="48" t="n">
        <f aca="false">B25+D25+E25</f>
        <v>32275</v>
      </c>
      <c r="G25" s="12" t="n">
        <f aca="false">IFERROR(F25/F$35,0)</f>
        <v>0.0215718264784412</v>
      </c>
      <c r="H25" s="53" t="n">
        <f aca="false">G25-C25</f>
        <v>-0.0120733517396225</v>
      </c>
    </row>
    <row r="26" customFormat="false" ht="15" hidden="false" customHeight="false" outlineLevel="0" collapsed="false">
      <c r="A26" s="54" t="s">
        <v>41</v>
      </c>
      <c r="B26" s="55" t="n">
        <f aca="false">SUMIFS(OpenPosition_10_28_2026!$L$6:$L$60,OpenPosition_10_28_2026!$D$6:$D$60,$A26)</f>
        <v>76440</v>
      </c>
      <c r="C26" s="20" t="n">
        <f aca="false">IFERROR(B26/B$35,0)</f>
        <v>0.0532317221299993</v>
      </c>
      <c r="D26" s="55" t="n">
        <f aca="false">-SUMIFS(OpenPosition_10_28_2026!$L$6:$L$60,OpenPosition_10_28_2026!$D$6:$D$60,$A26,OpenPosition_10_28_2026!$E$6:$E$60,"Sold Oct-26")</f>
        <v>-0</v>
      </c>
      <c r="E26" s="55" t="n">
        <f aca="false">SUMIFS('Rebalance Oct-26'!$E$15:$E$21,'Rebalance Oct-26'!$C$15:$C$21,$A26)</f>
        <v>0</v>
      </c>
      <c r="F26" s="56" t="n">
        <f aca="false">B26+D26+E26</f>
        <v>76440</v>
      </c>
      <c r="G26" s="20" t="n">
        <f aca="false">IFERROR(F26/F$35,0)</f>
        <v>0.0510906403102105</v>
      </c>
      <c r="H26" s="57" t="n">
        <f aca="false">G26-C26</f>
        <v>-0.00214108181978879</v>
      </c>
    </row>
    <row r="27" customFormat="false" ht="15" hidden="false" customHeight="false" outlineLevel="0" collapsed="false">
      <c r="A27" s="49" t="s">
        <v>92</v>
      </c>
      <c r="B27" s="58" t="n">
        <f aca="false">SUMIFS(OpenPosition_10_28_2026!$L$6:$L$60,OpenPosition_10_28_2026!$D$6:$D$60,$A27)</f>
        <v>9544.6</v>
      </c>
      <c r="C27" s="12" t="n">
        <f aca="false">IFERROR(B27/B$35,0)</f>
        <v>0.00664672285507577</v>
      </c>
      <c r="D27" s="58" t="n">
        <f aca="false">-SUMIFS(OpenPosition_10_28_2026!$L$6:$L$60,OpenPosition_10_28_2026!$D$6:$D$60,$A27,OpenPosition_10_28_2026!$E$6:$E$60,"Sold Oct-26")</f>
        <v>-0</v>
      </c>
      <c r="E27" s="58" t="n">
        <f aca="false">SUMIFS('Rebalance Oct-26'!$E$15:$E$21,'Rebalance Oct-26'!$C$15:$C$21,$A27)</f>
        <v>0</v>
      </c>
      <c r="F27" s="48" t="n">
        <f aca="false">B27+D27+E27</f>
        <v>9544.6</v>
      </c>
      <c r="G27" s="12" t="n">
        <f aca="false">IFERROR(F27/F$35,0)</f>
        <v>0.00637937893125112</v>
      </c>
      <c r="H27" s="53" t="n">
        <f aca="false">G27-C27</f>
        <v>-0.000267343923824648</v>
      </c>
    </row>
    <row r="28" customFormat="false" ht="15" hidden="false" customHeight="false" outlineLevel="0" collapsed="false">
      <c r="A28" s="54" t="s">
        <v>107</v>
      </c>
      <c r="B28" s="55" t="n">
        <f aca="false">SUMIFS(OpenPosition_10_28_2026!$L$6:$L$60,OpenPosition_10_28_2026!$D$6:$D$60,$A28)</f>
        <v>4719.4</v>
      </c>
      <c r="C28" s="20" t="n">
        <f aca="false">IFERROR(B28/B$35,0)</f>
        <v>0.0032865226245463</v>
      </c>
      <c r="D28" s="55" t="n">
        <f aca="false">-SUMIFS(OpenPosition_10_28_2026!$L$6:$L$60,OpenPosition_10_28_2026!$D$6:$D$60,$A28,OpenPosition_10_28_2026!$E$6:$E$60,"Sold Oct-26")</f>
        <v>-0</v>
      </c>
      <c r="E28" s="55" t="n">
        <f aca="false">SUMIFS('Rebalance Oct-26'!$E$15:$E$21,'Rebalance Oct-26'!$C$15:$C$21,$A28)</f>
        <v>0</v>
      </c>
      <c r="F28" s="56" t="n">
        <f aca="false">B28+D28+E28</f>
        <v>4719.4</v>
      </c>
      <c r="G28" s="20" t="n">
        <f aca="false">IFERROR(F28/F$35,0)</f>
        <v>0.00315433238984835</v>
      </c>
      <c r="H28" s="57" t="n">
        <f aca="false">G28-C28</f>
        <v>-0.000132190234697949</v>
      </c>
    </row>
    <row r="29" customFormat="false" ht="15" hidden="false" customHeight="false" outlineLevel="0" collapsed="false">
      <c r="A29" s="49" t="s">
        <v>68</v>
      </c>
      <c r="B29" s="58" t="n">
        <f aca="false">SUMIFS(OpenPosition_10_28_2026!$L$6:$L$60,OpenPosition_10_28_2026!$D$6:$D$60,$A29)</f>
        <v>24492.5</v>
      </c>
      <c r="C29" s="12" t="n">
        <f aca="false">IFERROR(B29/B$35,0)</f>
        <v>0.0170562265079671</v>
      </c>
      <c r="D29" s="58" t="n">
        <f aca="false">-SUMIFS(OpenPosition_10_28_2026!$L$6:$L$60,OpenPosition_10_28_2026!$D$6:$D$60,$A29,OpenPosition_10_28_2026!$E$6:$E$60,"Sold Oct-26")</f>
        <v>-0</v>
      </c>
      <c r="E29" s="58" t="n">
        <f aca="false">SUMIFS('Rebalance Oct-26'!$E$15:$E$21,'Rebalance Oct-26'!$C$15:$C$21,$A29)</f>
        <v>15000</v>
      </c>
      <c r="F29" s="48" t="n">
        <f aca="false">B29+D29+E29</f>
        <v>39492.5</v>
      </c>
      <c r="G29" s="12" t="n">
        <f aca="false">IFERROR(F29/F$35,0)</f>
        <v>0.0263958282633568</v>
      </c>
      <c r="H29" s="53" t="n">
        <f aca="false">G29-C29</f>
        <v>0.0093396017553896</v>
      </c>
    </row>
    <row r="30" customFormat="false" ht="15" hidden="false" customHeight="false" outlineLevel="0" collapsed="false">
      <c r="A30" s="54" t="s">
        <v>167</v>
      </c>
      <c r="B30" s="55" t="n">
        <f aca="false">SUMIFS(OpenPosition_10_28_2026!$L$6:$L$60,OpenPosition_10_28_2026!$D$6:$D$60,$A30)</f>
        <v>0</v>
      </c>
      <c r="C30" s="20" t="n">
        <f aca="false">IFERROR(B30/B$35,0)</f>
        <v>0</v>
      </c>
      <c r="D30" s="55" t="n">
        <f aca="false">-SUMIFS(OpenPosition_10_28_2026!$L$6:$L$60,OpenPosition_10_28_2026!$D$6:$D$60,$A30,OpenPosition_10_28_2026!$E$6:$E$60,"Sold Oct-26")</f>
        <v>-0</v>
      </c>
      <c r="E30" s="55" t="n">
        <f aca="false">SUMIFS('Rebalance Oct-26'!$E$15:$E$21,'Rebalance Oct-26'!$C$15:$C$21,$A30)</f>
        <v>30000</v>
      </c>
      <c r="F30" s="56" t="n">
        <f aca="false">B30+D30+E30</f>
        <v>30000</v>
      </c>
      <c r="G30" s="20" t="n">
        <f aca="false">IFERROR(F30/F$35,0)</f>
        <v>0.020051271707304</v>
      </c>
      <c r="H30" s="57" t="n">
        <f aca="false">G30-C30</f>
        <v>0.020051271707304</v>
      </c>
    </row>
    <row r="31" customFormat="false" ht="15" hidden="false" customHeight="false" outlineLevel="0" collapsed="false">
      <c r="A31" s="49" t="s">
        <v>35</v>
      </c>
      <c r="B31" s="58" t="n">
        <f aca="false">SUMIFS(OpenPosition_10_28_2026!$L$6:$L$60,OpenPosition_10_28_2026!$D$6:$D$60,$A31)</f>
        <v>40625</v>
      </c>
      <c r="C31" s="12" t="n">
        <f aca="false">IFERROR(B31/B$35,0)</f>
        <v>0.0282906686490218</v>
      </c>
      <c r="D31" s="58" t="n">
        <f aca="false">-SUMIFS(OpenPosition_10_28_2026!$L$6:$L$60,OpenPosition_10_28_2026!$D$6:$D$60,$A31,OpenPosition_10_28_2026!$E$6:$E$60,"Sold Oct-26")</f>
        <v>-0</v>
      </c>
      <c r="E31" s="58" t="n">
        <f aca="false">SUMIFS('Rebalance Oct-26'!$E$15:$E$21,'Rebalance Oct-26'!$C$15:$C$21,$A31)</f>
        <v>0</v>
      </c>
      <c r="F31" s="48" t="n">
        <f aca="false">B31+D31+E31</f>
        <v>40625</v>
      </c>
      <c r="G31" s="12" t="n">
        <f aca="false">IFERROR(F31/F$35,0)</f>
        <v>0.0271527637703075</v>
      </c>
      <c r="H31" s="53" t="n">
        <f aca="false">G31-C31</f>
        <v>-0.00113790487871428</v>
      </c>
    </row>
    <row r="32" customFormat="false" ht="15" hidden="false" customHeight="false" outlineLevel="0" collapsed="false">
      <c r="A32" s="54" t="s">
        <v>47</v>
      </c>
      <c r="B32" s="55" t="n">
        <f aca="false">SUMIFS(OpenPosition_10_28_2026!$L$6:$L$60,OpenPosition_10_28_2026!$D$6:$D$60,$A32)</f>
        <v>103692.9147</v>
      </c>
      <c r="C32" s="20" t="n">
        <f aca="false">IFERROR(B32/B$35,0)</f>
        <v>0.072210261933021</v>
      </c>
      <c r="D32" s="55" t="n">
        <f aca="false">-SUMIFS(OpenPosition_10_28_2026!$L$6:$L$60,OpenPosition_10_28_2026!$D$6:$D$60,$A32,OpenPosition_10_28_2026!$E$6:$E$60,"Sold Oct-26")</f>
        <v>-0</v>
      </c>
      <c r="E32" s="55" t="n">
        <f aca="false">SUMIFS('Rebalance Oct-26'!$E$15:$E$21,'Rebalance Oct-26'!$C$15:$C$21,$A32)</f>
        <v>0</v>
      </c>
      <c r="F32" s="56" t="n">
        <f aca="false">B32+D32+E32</f>
        <v>103692.9147</v>
      </c>
      <c r="G32" s="20" t="n">
        <f aca="false">IFERROR(F32/F$35,0)</f>
        <v>0.0693058268923998</v>
      </c>
      <c r="H32" s="57" t="n">
        <f aca="false">G32-C32</f>
        <v>-0.00290443504062113</v>
      </c>
    </row>
    <row r="33" customFormat="false" ht="15" hidden="false" customHeight="false" outlineLevel="0" collapsed="false">
      <c r="A33" s="49" t="s">
        <v>20</v>
      </c>
      <c r="B33" s="58" t="n">
        <f aca="false">SUMIFS(OpenPosition_10_28_2026!$L$6:$L$60,OpenPosition_10_28_2026!$D$6:$D$60,$A33)</f>
        <v>171695.56</v>
      </c>
      <c r="C33" s="12" t="n">
        <f aca="false">IFERROR(B33/B$35,0)</f>
        <v>0.119566330989987</v>
      </c>
      <c r="D33" s="58" t="n">
        <f aca="false">-SUMIFS(OpenPosition_10_28_2026!$L$6:$L$60,OpenPosition_10_28_2026!$D$6:$D$60,$A33,OpenPosition_10_28_2026!$E$6:$E$60,"Sold Oct-26")</f>
        <v>-0</v>
      </c>
      <c r="E33" s="58" t="n">
        <f aca="false">SUMIFS('Rebalance Oct-26'!$E$15:$E$21,'Rebalance Oct-26'!$C$15:$C$21,$A33)</f>
        <v>0</v>
      </c>
      <c r="F33" s="48" t="n">
        <f aca="false">B33+D33+E33</f>
        <v>171695.56</v>
      </c>
      <c r="G33" s="12" t="n">
        <f aca="false">IFERROR(F33/F$35,0)</f>
        <v>0.114757144149924</v>
      </c>
      <c r="H33" s="53" t="n">
        <f aca="false">G33-C33</f>
        <v>-0.00480918684006353</v>
      </c>
    </row>
    <row r="34" customFormat="false" ht="15" hidden="false" customHeight="false" outlineLevel="0" collapsed="false">
      <c r="A34" s="54" t="s">
        <v>110</v>
      </c>
      <c r="B34" s="55" t="n">
        <f aca="false">SUMIFS(OpenPosition_10_28_2026!$L$6:$L$60,OpenPosition_10_28_2026!$D$6:$D$60,$A34)</f>
        <v>1662.5</v>
      </c>
      <c r="C34" s="20" t="n">
        <f aca="false">IFERROR(B34/B$35,0)</f>
        <v>0.0011577412093292</v>
      </c>
      <c r="D34" s="55" t="n">
        <f aca="false">-SUMIFS(OpenPosition_10_28_2026!$L$6:$L$60,OpenPosition_10_28_2026!$D$6:$D$60,$A34,OpenPosition_10_28_2026!$E$6:$E$60,"Sold Oct-26")</f>
        <v>-0</v>
      </c>
      <c r="E34" s="55" t="n">
        <f aca="false">SUMIFS('Rebalance Oct-26'!$E$15:$E$21,'Rebalance Oct-26'!$C$15:$C$21,$A34)</f>
        <v>0</v>
      </c>
      <c r="F34" s="56" t="n">
        <f aca="false">B34+D34+E34</f>
        <v>1662.5</v>
      </c>
      <c r="G34" s="20" t="n">
        <f aca="false">IFERROR(F34/F$35,0)</f>
        <v>0.00111117464044643</v>
      </c>
      <c r="H34" s="57" t="n">
        <f aca="false">G34-C34</f>
        <v>-4.65665688827691E-005</v>
      </c>
    </row>
    <row r="35" customFormat="false" ht="15" hidden="false" customHeight="false" outlineLevel="0" collapsed="false">
      <c r="A35" s="31" t="s">
        <v>149</v>
      </c>
      <c r="B35" s="44" t="n">
        <f aca="false">SUM(B19:B34)</f>
        <v>1435985.8547</v>
      </c>
      <c r="C35" s="34" t="n">
        <f aca="false">SUM(C19:C34)</f>
        <v>1</v>
      </c>
      <c r="D35" s="44" t="n">
        <f aca="false">SUM(D19:D34)</f>
        <v>-119821.4</v>
      </c>
      <c r="E35" s="44" t="n">
        <f aca="false">SUM(E19:E34)</f>
        <v>180000</v>
      </c>
      <c r="F35" s="44" t="n">
        <f aca="false">SUM(F19:F34)</f>
        <v>1496164.4547</v>
      </c>
      <c r="G35" s="34" t="n">
        <f aca="false">SUM(G19:G34)</f>
        <v>1</v>
      </c>
      <c r="H35" s="59" t="n">
        <f aca="false">SUM(H19:H34)</f>
        <v>-3.51281503885303E-017</v>
      </c>
    </row>
    <row r="36" customFormat="false" ht="15" hidden="false" customHeight="false" outlineLevel="0" collapsed="false">
      <c r="A36" s="42" t="s">
        <v>189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2026-10-29T11:17:46Z</dcterms:created>
  <dc:creator>openpyxl</dc:creator>
  <dc:description/>
  <dc:language>en-US</dc:language>
  <cp:lastModifiedBy/>
  <dcterms:modified xsi:type="dcterms:W3CDTF">2026-10-29T07:17:47Z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